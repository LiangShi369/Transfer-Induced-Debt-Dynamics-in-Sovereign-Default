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BaiduSyncdisk\working papers\govt transfer expense and sov def\revising 2025\data\"/>
    </mc:Choice>
  </mc:AlternateContent>
  <xr:revisionPtr revIDLastSave="0" documentId="13_ncr:1_{8363F0D4-EB75-4DAE-8D98-3A32C77FF7AF}" xr6:coauthVersionLast="47" xr6:coauthVersionMax="47" xr10:uidLastSave="{00000000-0000-0000-0000-000000000000}"/>
  <bookViews>
    <workbookView xWindow="2190" yWindow="3765" windowWidth="14340" windowHeight="16155" xr2:uid="{00000000-000D-0000-FFFF-FFFF00000000}"/>
  </bookViews>
  <sheets>
    <sheet name="greece" sheetId="1" r:id="rId1"/>
    <sheet name="ireland" sheetId="2" r:id="rId2"/>
    <sheet name="portugal" sheetId="3" r:id="rId3"/>
    <sheet name="spain" sheetId="4" r:id="rId4"/>
    <sheet name="ita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J43" i="2"/>
  <c r="J39" i="2"/>
  <c r="B39" i="2"/>
  <c r="B32" i="2"/>
  <c r="J40" i="2"/>
  <c r="J41" i="2"/>
  <c r="J42" i="2"/>
  <c r="K43" i="2"/>
  <c r="F43" i="2"/>
  <c r="F40" i="2"/>
  <c r="G40" i="2" s="1"/>
  <c r="F41" i="2"/>
  <c r="F42" i="2"/>
  <c r="F39" i="2"/>
  <c r="C41" i="2"/>
  <c r="B43" i="2"/>
  <c r="C43" i="2" s="1"/>
  <c r="B36" i="2"/>
  <c r="B40" i="2"/>
  <c r="C40" i="2" s="1"/>
  <c r="B41" i="2"/>
  <c r="B42" i="2"/>
  <c r="C42" i="2" s="1"/>
  <c r="K50" i="5"/>
  <c r="L50" i="5"/>
  <c r="K50" i="3"/>
  <c r="L50" i="3"/>
  <c r="J43" i="5"/>
  <c r="K43" i="5" s="1"/>
  <c r="F43" i="5"/>
  <c r="G43" i="5" s="1"/>
  <c r="B43" i="5"/>
  <c r="C43" i="5" s="1"/>
  <c r="J42" i="5"/>
  <c r="K42" i="5" s="1"/>
  <c r="G42" i="5"/>
  <c r="F42" i="5"/>
  <c r="C42" i="5"/>
  <c r="B42" i="5"/>
  <c r="J41" i="5"/>
  <c r="K41" i="5" s="1"/>
  <c r="F41" i="5"/>
  <c r="G41" i="5" s="1"/>
  <c r="B41" i="5"/>
  <c r="C41" i="5" s="1"/>
  <c r="J40" i="5"/>
  <c r="K40" i="5" s="1"/>
  <c r="F40" i="5"/>
  <c r="G40" i="5" s="1"/>
  <c r="B40" i="5"/>
  <c r="C40" i="5" s="1"/>
  <c r="J39" i="5"/>
  <c r="K39" i="5" s="1"/>
  <c r="G39" i="5"/>
  <c r="F39" i="5"/>
  <c r="C39" i="5"/>
  <c r="B39" i="5"/>
  <c r="J43" i="4"/>
  <c r="K43" i="4" s="1"/>
  <c r="F43" i="4"/>
  <c r="G43" i="4" s="1"/>
  <c r="B43" i="4"/>
  <c r="C43" i="4" s="1"/>
  <c r="J42" i="4"/>
  <c r="K42" i="4" s="1"/>
  <c r="F42" i="4"/>
  <c r="G42" i="4" s="1"/>
  <c r="B42" i="4"/>
  <c r="C42" i="4" s="1"/>
  <c r="J41" i="4"/>
  <c r="K41" i="4" s="1"/>
  <c r="F41" i="4"/>
  <c r="G41" i="4" s="1"/>
  <c r="B41" i="4"/>
  <c r="C41" i="4" s="1"/>
  <c r="J40" i="4"/>
  <c r="K40" i="4" s="1"/>
  <c r="F40" i="4"/>
  <c r="G40" i="4" s="1"/>
  <c r="B40" i="4"/>
  <c r="C40" i="4" s="1"/>
  <c r="J39" i="4"/>
  <c r="K39" i="4" s="1"/>
  <c r="F39" i="4"/>
  <c r="G39" i="4" s="1"/>
  <c r="B39" i="4"/>
  <c r="C39" i="4" s="1"/>
  <c r="J43" i="3"/>
  <c r="K43" i="3" s="1"/>
  <c r="F43" i="3"/>
  <c r="G43" i="3" s="1"/>
  <c r="B43" i="3"/>
  <c r="C43" i="3" s="1"/>
  <c r="J42" i="3"/>
  <c r="K42" i="3" s="1"/>
  <c r="F42" i="3"/>
  <c r="G42" i="3" s="1"/>
  <c r="B42" i="3"/>
  <c r="C42" i="3" s="1"/>
  <c r="J41" i="3"/>
  <c r="K41" i="3" s="1"/>
  <c r="F41" i="3"/>
  <c r="G41" i="3" s="1"/>
  <c r="B41" i="3"/>
  <c r="C41" i="3" s="1"/>
  <c r="J40" i="3"/>
  <c r="K40" i="3" s="1"/>
  <c r="F40" i="3"/>
  <c r="G40" i="3" s="1"/>
  <c r="B40" i="3"/>
  <c r="C40" i="3" s="1"/>
  <c r="J39" i="3"/>
  <c r="K39" i="3" s="1"/>
  <c r="F39" i="3"/>
  <c r="G39" i="3" s="1"/>
  <c r="B39" i="3"/>
  <c r="C39" i="3" s="1"/>
  <c r="G39" i="2"/>
  <c r="C39" i="2"/>
  <c r="K40" i="1"/>
  <c r="K41" i="1"/>
  <c r="K42" i="1"/>
  <c r="K43" i="1"/>
  <c r="K39" i="1"/>
  <c r="J39" i="1"/>
  <c r="J43" i="1"/>
  <c r="J42" i="1"/>
  <c r="J41" i="1"/>
  <c r="J40" i="1"/>
  <c r="G40" i="1"/>
  <c r="G41" i="1"/>
  <c r="G42" i="1"/>
  <c r="G43" i="1"/>
  <c r="G39" i="1"/>
  <c r="F43" i="1"/>
  <c r="F42" i="1"/>
  <c r="F41" i="1"/>
  <c r="F40" i="1"/>
  <c r="F39" i="1"/>
  <c r="C40" i="1"/>
  <c r="C41" i="1"/>
  <c r="C43" i="1"/>
  <c r="C39" i="1"/>
  <c r="B43" i="1"/>
  <c r="B40" i="1"/>
  <c r="B41" i="1"/>
  <c r="B42" i="1"/>
  <c r="B39" i="1"/>
  <c r="B36" i="1"/>
  <c r="J36" i="2"/>
  <c r="J33" i="2"/>
  <c r="J34" i="2"/>
  <c r="J35" i="2"/>
  <c r="J32" i="2"/>
  <c r="F36" i="2"/>
  <c r="F33" i="2"/>
  <c r="F34" i="2"/>
  <c r="F35" i="2"/>
  <c r="F32" i="2"/>
  <c r="B33" i="2"/>
  <c r="B34" i="2"/>
  <c r="B35" i="2"/>
  <c r="K39" i="2" l="1"/>
  <c r="K42" i="2"/>
  <c r="G42" i="2"/>
  <c r="G43" i="2"/>
  <c r="G41" i="2"/>
  <c r="K41" i="2"/>
  <c r="K40" i="2"/>
  <c r="K36" i="2"/>
  <c r="K35" i="2"/>
  <c r="K34" i="2"/>
  <c r="K33" i="2"/>
  <c r="K32" i="2"/>
  <c r="J32" i="1"/>
  <c r="L74" i="5"/>
  <c r="K74" i="5"/>
  <c r="L73" i="5"/>
  <c r="K73" i="5"/>
  <c r="L72" i="5"/>
  <c r="K72" i="5"/>
  <c r="L71" i="5"/>
  <c r="K71" i="5"/>
  <c r="L70" i="5"/>
  <c r="K70" i="5"/>
  <c r="L69" i="5"/>
  <c r="K69" i="5"/>
  <c r="L68" i="5"/>
  <c r="K68" i="5"/>
  <c r="L67" i="5"/>
  <c r="K67" i="5"/>
  <c r="L66" i="5"/>
  <c r="K66" i="5"/>
  <c r="L65" i="5"/>
  <c r="K65" i="5"/>
  <c r="L64" i="5"/>
  <c r="K64" i="5"/>
  <c r="L63" i="5"/>
  <c r="K63" i="5"/>
  <c r="L62" i="5"/>
  <c r="K62" i="5"/>
  <c r="L61" i="5"/>
  <c r="K61" i="5"/>
  <c r="L60" i="5"/>
  <c r="K60" i="5"/>
  <c r="L59" i="5"/>
  <c r="K59" i="5"/>
  <c r="L58" i="5"/>
  <c r="K58" i="5"/>
  <c r="L57" i="5"/>
  <c r="K57" i="5"/>
  <c r="L56" i="5"/>
  <c r="K56" i="5"/>
  <c r="L55" i="5"/>
  <c r="K55" i="5"/>
  <c r="L54" i="5"/>
  <c r="K54" i="5"/>
  <c r="L53" i="5"/>
  <c r="K53" i="5"/>
  <c r="L52" i="5"/>
  <c r="K52" i="5"/>
  <c r="L51" i="5"/>
  <c r="K51" i="5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K50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J36" i="5"/>
  <c r="K36" i="5" s="1"/>
  <c r="F36" i="5"/>
  <c r="B36" i="5"/>
  <c r="C36" i="5" s="1"/>
  <c r="J35" i="5"/>
  <c r="F35" i="5"/>
  <c r="B35" i="5"/>
  <c r="C35" i="5" s="1"/>
  <c r="J34" i="5"/>
  <c r="F34" i="5"/>
  <c r="B34" i="5"/>
  <c r="C34" i="5" s="1"/>
  <c r="J33" i="5"/>
  <c r="F33" i="5"/>
  <c r="B33" i="5"/>
  <c r="C33" i="5" s="1"/>
  <c r="J32" i="5"/>
  <c r="K32" i="5" s="1"/>
  <c r="F32" i="5"/>
  <c r="G32" i="5" s="1"/>
  <c r="C32" i="5"/>
  <c r="B32" i="5"/>
  <c r="J36" i="4"/>
  <c r="F36" i="4"/>
  <c r="G36" i="4" s="1"/>
  <c r="B36" i="4"/>
  <c r="C36" i="4" s="1"/>
  <c r="J35" i="4"/>
  <c r="F35" i="4"/>
  <c r="B35" i="4"/>
  <c r="C35" i="4" s="1"/>
  <c r="J34" i="4"/>
  <c r="F34" i="4"/>
  <c r="B34" i="4"/>
  <c r="C34" i="4" s="1"/>
  <c r="J33" i="4"/>
  <c r="F33" i="4"/>
  <c r="B33" i="4"/>
  <c r="C33" i="4" s="1"/>
  <c r="J32" i="4"/>
  <c r="F32" i="4"/>
  <c r="G32" i="4" s="1"/>
  <c r="B32" i="4"/>
  <c r="C32" i="4" s="1"/>
  <c r="J36" i="3"/>
  <c r="K36" i="3" s="1"/>
  <c r="F36" i="3"/>
  <c r="B36" i="3"/>
  <c r="C36" i="3" s="1"/>
  <c r="J35" i="3"/>
  <c r="K35" i="3" s="1"/>
  <c r="F35" i="3"/>
  <c r="B35" i="3"/>
  <c r="C35" i="3" s="1"/>
  <c r="J34" i="3"/>
  <c r="F34" i="3"/>
  <c r="B34" i="3"/>
  <c r="C34" i="3" s="1"/>
  <c r="J33" i="3"/>
  <c r="F33" i="3"/>
  <c r="C33" i="3"/>
  <c r="B33" i="3"/>
  <c r="J32" i="3"/>
  <c r="K32" i="3" s="1"/>
  <c r="F32" i="3"/>
  <c r="G32" i="3" s="1"/>
  <c r="B32" i="3"/>
  <c r="C32" i="3" s="1"/>
  <c r="C36" i="2"/>
  <c r="G35" i="2"/>
  <c r="C35" i="2"/>
  <c r="G34" i="2"/>
  <c r="C34" i="2"/>
  <c r="G33" i="2"/>
  <c r="C33" i="2"/>
  <c r="G32" i="2"/>
  <c r="C32" i="2"/>
  <c r="J33" i="1"/>
  <c r="J34" i="1"/>
  <c r="J35" i="1"/>
  <c r="K35" i="1" s="1"/>
  <c r="F33" i="1"/>
  <c r="F34" i="1"/>
  <c r="F35" i="1"/>
  <c r="F32" i="1"/>
  <c r="G36" i="1" s="1"/>
  <c r="B33" i="1"/>
  <c r="B34" i="1"/>
  <c r="B35" i="1"/>
  <c r="B32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J36" i="1"/>
  <c r="F36" i="1"/>
  <c r="K32" i="1"/>
  <c r="K33" i="5" l="1"/>
  <c r="K35" i="5"/>
  <c r="K33" i="4"/>
  <c r="K35" i="4"/>
  <c r="K36" i="4"/>
  <c r="K34" i="4"/>
  <c r="K33" i="3"/>
  <c r="K34" i="3"/>
  <c r="G33" i="5"/>
  <c r="G34" i="5"/>
  <c r="G35" i="5"/>
  <c r="G36" i="5"/>
  <c r="G34" i="4"/>
  <c r="G33" i="4"/>
  <c r="G35" i="4"/>
  <c r="G34" i="3"/>
  <c r="G33" i="3"/>
  <c r="G36" i="3"/>
  <c r="K34" i="5"/>
  <c r="K32" i="4"/>
  <c r="G35" i="3"/>
  <c r="G36" i="2"/>
  <c r="G32" i="1"/>
  <c r="K36" i="1"/>
  <c r="K33" i="1"/>
  <c r="K34" i="1"/>
  <c r="G34" i="1"/>
  <c r="G35" i="1"/>
  <c r="G33" i="1"/>
  <c r="C33" i="1"/>
  <c r="C34" i="1"/>
  <c r="C35" i="1"/>
  <c r="C36" i="1"/>
  <c r="C32" i="1"/>
</calcChain>
</file>

<file path=xl/sharedStrings.xml><?xml version="1.0" encoding="utf-8"?>
<sst xmlns="http://schemas.openxmlformats.org/spreadsheetml/2006/main" count="135" uniqueCount="13">
  <si>
    <t>Gov final consumption</t>
  </si>
  <si>
    <t>euro</t>
  </si>
  <si>
    <t>% gdp</t>
  </si>
  <si>
    <t>transfers other than in kind</t>
  </si>
  <si>
    <t>Tax revenue</t>
  </si>
  <si>
    <t>2012Q1</t>
  </si>
  <si>
    <t>vat</t>
  </si>
  <si>
    <t>prod and im</t>
  </si>
  <si>
    <t>current</t>
  </si>
  <si>
    <t>capital</t>
  </si>
  <si>
    <t>Total</t>
  </si>
  <si>
    <t>Tax calculation</t>
  </si>
  <si>
    <t>2011Q2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</si>
</sst>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64" fontId="4" fillId="2" borderId="0" xfId="0" applyNumberFormat="1" applyFont="1" applyFill="1" applyAlignment="1">
      <alignment horizontal="right" vertical="center" shrinkToFit="1"/>
    </xf>
    <xf numFmtId="165" fontId="4" fillId="2" borderId="0" xfId="0" applyNumberFormat="1" applyFont="1" applyFill="1" applyAlignment="1">
      <alignment horizontal="right" vertical="center" shrinkToFi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0" xfId="0" applyFont="1"/>
    <xf numFmtId="164" fontId="4" fillId="0" borderId="0" xfId="0" applyNumberFormat="1" applyFont="1" applyAlignment="1">
      <alignment horizontal="right" vertical="center" shrinkToFit="1"/>
    </xf>
    <xf numFmtId="165" fontId="4" fillId="0" borderId="0" xfId="0" applyNumberFormat="1" applyFont="1" applyAlignment="1">
      <alignment horizontal="right" vertical="center" shrinkToFi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G3" sqref="G3:G19"/>
    </sheetView>
  </sheetViews>
  <sheetFormatPr defaultRowHeight="15" x14ac:dyDescent="0.25"/>
  <sheetData>
    <row r="1" spans="1:11" x14ac:dyDescent="0.25">
      <c r="A1" t="s">
        <v>0</v>
      </c>
      <c r="F1" t="s">
        <v>3</v>
      </c>
      <c r="J1" t="s">
        <v>4</v>
      </c>
    </row>
    <row r="2" spans="1:11" x14ac:dyDescent="0.25">
      <c r="B2" s="1" t="s">
        <v>1</v>
      </c>
      <c r="C2" s="1" t="s">
        <v>2</v>
      </c>
      <c r="F2" s="1" t="s">
        <v>1</v>
      </c>
      <c r="G2" s="1" t="s">
        <v>2</v>
      </c>
      <c r="H2" s="1"/>
      <c r="J2" s="1" t="s">
        <v>1</v>
      </c>
      <c r="K2" s="1" t="s">
        <v>2</v>
      </c>
    </row>
    <row r="3" spans="1:11" x14ac:dyDescent="0.25">
      <c r="A3" s="4">
        <v>1995</v>
      </c>
      <c r="B3">
        <v>18622.7</v>
      </c>
      <c r="C3">
        <v>18</v>
      </c>
      <c r="F3">
        <v>11519.6</v>
      </c>
      <c r="G3">
        <v>11.2</v>
      </c>
      <c r="J3">
        <v>26142</v>
      </c>
      <c r="K3">
        <v>25.4</v>
      </c>
    </row>
    <row r="4" spans="1:11" x14ac:dyDescent="0.25">
      <c r="A4" s="4">
        <v>1996</v>
      </c>
      <c r="B4">
        <v>20232.3</v>
      </c>
      <c r="C4">
        <v>18</v>
      </c>
      <c r="F4">
        <v>12675.6</v>
      </c>
      <c r="G4">
        <v>11.3</v>
      </c>
      <c r="J4">
        <v>28804.999999999996</v>
      </c>
      <c r="K4">
        <v>25.8</v>
      </c>
    </row>
    <row r="5" spans="1:11" x14ac:dyDescent="0.25">
      <c r="A5" s="4">
        <v>1997</v>
      </c>
      <c r="B5">
        <v>22343.599999999999</v>
      </c>
      <c r="C5">
        <v>18.2</v>
      </c>
      <c r="F5">
        <v>13872.1</v>
      </c>
      <c r="G5">
        <v>11.3</v>
      </c>
      <c r="J5">
        <v>33041.299999999996</v>
      </c>
      <c r="K5">
        <v>27.000000000000004</v>
      </c>
    </row>
    <row r="6" spans="1:11" x14ac:dyDescent="0.25">
      <c r="A6" s="4">
        <v>1998</v>
      </c>
      <c r="B6">
        <v>22582</v>
      </c>
      <c r="C6">
        <v>18.100000000000001</v>
      </c>
      <c r="F6">
        <v>14662.1</v>
      </c>
      <c r="G6">
        <v>11.8</v>
      </c>
      <c r="J6">
        <v>34920.9</v>
      </c>
      <c r="K6">
        <v>28</v>
      </c>
    </row>
    <row r="7" spans="1:11" x14ac:dyDescent="0.25">
      <c r="A7" s="4">
        <v>1999</v>
      </c>
      <c r="B7">
        <v>25161.9</v>
      </c>
      <c r="C7">
        <v>18.7</v>
      </c>
      <c r="F7">
        <v>16346.1</v>
      </c>
      <c r="G7">
        <v>12.1</v>
      </c>
      <c r="J7">
        <v>39560.300000000003</v>
      </c>
      <c r="K7">
        <v>29.4</v>
      </c>
    </row>
    <row r="8" spans="1:11" x14ac:dyDescent="0.25">
      <c r="A8" s="4">
        <v>2000</v>
      </c>
      <c r="B8">
        <v>26106.7</v>
      </c>
      <c r="C8">
        <v>18.899999999999999</v>
      </c>
      <c r="F8">
        <v>17587.7</v>
      </c>
      <c r="G8">
        <v>12.8</v>
      </c>
      <c r="J8">
        <v>42142.600000000006</v>
      </c>
      <c r="K8">
        <v>30.599999999999998</v>
      </c>
    </row>
    <row r="9" spans="1:11" x14ac:dyDescent="0.25">
      <c r="A9" s="4">
        <v>2001</v>
      </c>
      <c r="B9">
        <v>28483</v>
      </c>
      <c r="C9">
        <v>19.3</v>
      </c>
      <c r="F9">
        <v>19195</v>
      </c>
      <c r="G9">
        <v>13</v>
      </c>
      <c r="J9">
        <v>43078</v>
      </c>
      <c r="K9">
        <v>29.2</v>
      </c>
    </row>
    <row r="10" spans="1:11" x14ac:dyDescent="0.25">
      <c r="A10" s="4">
        <v>2002</v>
      </c>
      <c r="B10">
        <v>31430</v>
      </c>
      <c r="C10">
        <v>19.8</v>
      </c>
      <c r="F10">
        <v>20593</v>
      </c>
      <c r="G10">
        <v>13</v>
      </c>
      <c r="J10">
        <v>47830</v>
      </c>
      <c r="K10">
        <v>29.999999999999996</v>
      </c>
    </row>
    <row r="11" spans="1:11" x14ac:dyDescent="0.25">
      <c r="A11" s="4">
        <v>2003</v>
      </c>
      <c r="B11">
        <v>33918</v>
      </c>
      <c r="C11">
        <v>19.5</v>
      </c>
      <c r="F11">
        <v>23456</v>
      </c>
      <c r="G11">
        <v>13.5</v>
      </c>
      <c r="J11">
        <v>48514</v>
      </c>
      <c r="K11">
        <v>27.9</v>
      </c>
    </row>
    <row r="12" spans="1:11" x14ac:dyDescent="0.25">
      <c r="A12" s="4">
        <v>2004</v>
      </c>
      <c r="B12">
        <v>37108</v>
      </c>
      <c r="C12">
        <v>19.600000000000001</v>
      </c>
      <c r="F12">
        <v>24836</v>
      </c>
      <c r="G12">
        <v>13.1</v>
      </c>
      <c r="J12">
        <v>50964</v>
      </c>
      <c r="K12">
        <v>27.1</v>
      </c>
    </row>
    <row r="13" spans="1:11" x14ac:dyDescent="0.25">
      <c r="A13" s="4">
        <v>2005</v>
      </c>
      <c r="B13">
        <v>39889</v>
      </c>
      <c r="C13">
        <v>20.5</v>
      </c>
      <c r="F13">
        <v>27090</v>
      </c>
      <c r="G13">
        <v>13.9</v>
      </c>
      <c r="J13">
        <v>55302</v>
      </c>
      <c r="K13">
        <v>28.4</v>
      </c>
    </row>
    <row r="14" spans="1:11" x14ac:dyDescent="0.25">
      <c r="A14" s="4">
        <v>2006</v>
      </c>
      <c r="B14">
        <v>43911</v>
      </c>
      <c r="C14">
        <v>20.5</v>
      </c>
      <c r="F14">
        <v>30437</v>
      </c>
      <c r="G14">
        <v>14.2</v>
      </c>
      <c r="J14">
        <v>59777</v>
      </c>
      <c r="K14">
        <v>27.999999999999996</v>
      </c>
    </row>
    <row r="15" spans="1:11" x14ac:dyDescent="0.25">
      <c r="A15" s="4">
        <v>2007</v>
      </c>
      <c r="B15">
        <v>47750</v>
      </c>
      <c r="C15" s="2">
        <v>20.8</v>
      </c>
      <c r="E15" s="2"/>
      <c r="F15">
        <v>33879</v>
      </c>
      <c r="G15" s="2">
        <v>14.8</v>
      </c>
      <c r="H15" s="2"/>
      <c r="J15">
        <v>65254</v>
      </c>
      <c r="K15" s="2">
        <v>28.5</v>
      </c>
    </row>
    <row r="16" spans="1:11" x14ac:dyDescent="0.25">
      <c r="A16" s="4">
        <v>2008</v>
      </c>
      <c r="B16">
        <v>50189</v>
      </c>
      <c r="C16" s="2">
        <v>21</v>
      </c>
      <c r="D16" s="2"/>
      <c r="E16" s="2"/>
      <c r="F16">
        <v>38773</v>
      </c>
      <c r="G16" s="2">
        <v>16.2</v>
      </c>
      <c r="H16" s="2"/>
      <c r="J16">
        <v>67645</v>
      </c>
      <c r="K16" s="2">
        <v>28.299999999999997</v>
      </c>
    </row>
    <row r="17" spans="1:11" x14ac:dyDescent="0.25">
      <c r="A17" s="4">
        <v>2009</v>
      </c>
      <c r="B17">
        <v>55563</v>
      </c>
      <c r="C17" s="2">
        <v>23.7</v>
      </c>
      <c r="D17" s="2"/>
      <c r="E17" s="2"/>
      <c r="F17">
        <v>41584</v>
      </c>
      <c r="G17" s="2">
        <v>17.7</v>
      </c>
      <c r="H17" s="2"/>
      <c r="J17">
        <v>63521</v>
      </c>
      <c r="K17" s="2">
        <v>27.099999999999998</v>
      </c>
    </row>
    <row r="18" spans="1:11" x14ac:dyDescent="0.25">
      <c r="A18" s="4">
        <v>2010</v>
      </c>
      <c r="B18">
        <v>50342</v>
      </c>
      <c r="C18" s="2">
        <v>22.5</v>
      </c>
      <c r="D18" s="2"/>
      <c r="E18" s="2"/>
      <c r="F18">
        <v>40114</v>
      </c>
      <c r="G18" s="2">
        <v>17.899999999999999</v>
      </c>
      <c r="H18" s="2"/>
      <c r="J18">
        <v>63344</v>
      </c>
      <c r="K18" s="2">
        <v>28.299999999999997</v>
      </c>
    </row>
    <row r="19" spans="1:11" x14ac:dyDescent="0.25">
      <c r="A19" s="4">
        <v>2011</v>
      </c>
      <c r="B19">
        <v>45008</v>
      </c>
      <c r="C19" s="2">
        <v>22.1</v>
      </c>
      <c r="D19" s="2"/>
      <c r="E19" s="2"/>
      <c r="F19">
        <v>40392</v>
      </c>
      <c r="G19" s="2">
        <v>19.899999999999999</v>
      </c>
      <c r="H19" s="2"/>
      <c r="J19">
        <v>62344</v>
      </c>
      <c r="K19" s="2">
        <v>30.6</v>
      </c>
    </row>
    <row r="20" spans="1:11" x14ac:dyDescent="0.25">
      <c r="A20" s="4">
        <v>2012</v>
      </c>
      <c r="B20">
        <v>42009</v>
      </c>
      <c r="C20" s="3">
        <v>22.6</v>
      </c>
      <c r="D20" s="2"/>
      <c r="E20" s="2"/>
      <c r="F20">
        <v>38838</v>
      </c>
      <c r="G20" s="3">
        <v>20.9</v>
      </c>
      <c r="H20" s="2"/>
      <c r="J20">
        <v>61757</v>
      </c>
      <c r="K20" s="3">
        <v>33.200000000000003</v>
      </c>
    </row>
    <row r="21" spans="1:11" x14ac:dyDescent="0.25">
      <c r="A21" s="4">
        <v>2013</v>
      </c>
      <c r="B21">
        <v>37366</v>
      </c>
      <c r="C21">
        <v>21</v>
      </c>
      <c r="D21" s="2"/>
      <c r="F21">
        <v>34306</v>
      </c>
      <c r="G21">
        <v>19.3</v>
      </c>
      <c r="H21" s="2"/>
      <c r="J21">
        <v>58304</v>
      </c>
      <c r="K21">
        <v>32.700000000000003</v>
      </c>
    </row>
    <row r="22" spans="1:11" x14ac:dyDescent="0.25">
      <c r="A22" s="4">
        <v>2014</v>
      </c>
      <c r="B22">
        <v>36668</v>
      </c>
      <c r="C22">
        <v>20.8</v>
      </c>
      <c r="F22">
        <v>35160</v>
      </c>
      <c r="G22">
        <v>20</v>
      </c>
      <c r="J22">
        <v>58960</v>
      </c>
      <c r="K22">
        <v>33.5</v>
      </c>
    </row>
    <row r="23" spans="1:11" x14ac:dyDescent="0.25">
      <c r="A23" s="4">
        <v>2015</v>
      </c>
      <c r="B23">
        <v>36484</v>
      </c>
      <c r="C23">
        <v>20.8</v>
      </c>
      <c r="F23">
        <v>35076</v>
      </c>
      <c r="G23">
        <v>20</v>
      </c>
      <c r="J23">
        <v>58965</v>
      </c>
      <c r="K23">
        <v>33.6</v>
      </c>
    </row>
    <row r="24" spans="1:11" x14ac:dyDescent="0.25">
      <c r="A24" s="4">
        <v>2016</v>
      </c>
      <c r="B24">
        <v>36176</v>
      </c>
      <c r="C24">
        <v>20.7</v>
      </c>
      <c r="F24">
        <v>35142</v>
      </c>
      <c r="G24">
        <v>20.100000000000001</v>
      </c>
      <c r="J24">
        <v>63144</v>
      </c>
      <c r="K24">
        <v>36.199999999999996</v>
      </c>
    </row>
    <row r="25" spans="1:11" x14ac:dyDescent="0.25">
      <c r="A25" s="4">
        <v>2017</v>
      </c>
      <c r="B25">
        <v>36442</v>
      </c>
      <c r="C25">
        <v>20.5</v>
      </c>
      <c r="F25">
        <v>34329</v>
      </c>
      <c r="G25">
        <v>19.399999999999999</v>
      </c>
      <c r="J25">
        <v>63776</v>
      </c>
      <c r="K25">
        <v>36.000000000000007</v>
      </c>
    </row>
    <row r="26" spans="1:11" x14ac:dyDescent="0.25">
      <c r="A26" s="4">
        <v>2018</v>
      </c>
      <c r="B26">
        <v>35733</v>
      </c>
      <c r="C26">
        <v>19.8</v>
      </c>
      <c r="F26">
        <v>34374</v>
      </c>
      <c r="G26">
        <v>19</v>
      </c>
      <c r="J26">
        <v>65957</v>
      </c>
      <c r="K26">
        <v>36.6</v>
      </c>
    </row>
    <row r="27" spans="1:11" x14ac:dyDescent="0.25">
      <c r="A27" s="4">
        <v>2019</v>
      </c>
      <c r="B27">
        <v>37087</v>
      </c>
      <c r="C27">
        <v>20</v>
      </c>
      <c r="F27">
        <v>34532</v>
      </c>
      <c r="G27">
        <v>18.600000000000001</v>
      </c>
      <c r="J27">
        <v>65154</v>
      </c>
      <c r="K27">
        <v>35.1</v>
      </c>
    </row>
    <row r="28" spans="1:11" x14ac:dyDescent="0.25">
      <c r="A28" s="4"/>
    </row>
    <row r="29" spans="1:11" x14ac:dyDescent="0.25">
      <c r="A29" s="4"/>
    </row>
    <row r="30" spans="1:11" x14ac:dyDescent="0.25">
      <c r="A30" s="4"/>
    </row>
    <row r="31" spans="1:11" x14ac:dyDescent="0.25">
      <c r="A31" s="4"/>
    </row>
    <row r="32" spans="1:11" x14ac:dyDescent="0.25">
      <c r="A32" s="4">
        <v>2008</v>
      </c>
      <c r="B32">
        <f>B16</f>
        <v>50189</v>
      </c>
      <c r="C32">
        <f>B32/$B$32</f>
        <v>1</v>
      </c>
      <c r="F32">
        <f>F16</f>
        <v>38773</v>
      </c>
      <c r="G32">
        <f>F32/$F$32</f>
        <v>1</v>
      </c>
      <c r="J32">
        <f>J16</f>
        <v>67645</v>
      </c>
      <c r="K32">
        <f>J32/$J$32</f>
        <v>1</v>
      </c>
    </row>
    <row r="33" spans="1:11" x14ac:dyDescent="0.25">
      <c r="A33" s="4">
        <v>2009</v>
      </c>
      <c r="B33">
        <f t="shared" ref="B33:B35" si="0">B17</f>
        <v>55563</v>
      </c>
      <c r="C33">
        <f t="shared" ref="C33:C36" si="1">B33/$B$32</f>
        <v>1.1070752555340813</v>
      </c>
      <c r="F33">
        <f t="shared" ref="F33:F35" si="2">F17</f>
        <v>41584</v>
      </c>
      <c r="G33">
        <f t="shared" ref="G33:G36" si="3">F33/$F$32</f>
        <v>1.0724989038764088</v>
      </c>
      <c r="J33">
        <f t="shared" ref="J33:J35" si="4">J17</f>
        <v>63521</v>
      </c>
      <c r="K33">
        <f t="shared" ref="K33:K36" si="5">J33/$J$32</f>
        <v>0.9390346662724518</v>
      </c>
    </row>
    <row r="34" spans="1:11" x14ac:dyDescent="0.25">
      <c r="A34" s="4">
        <v>2010</v>
      </c>
      <c r="B34">
        <f t="shared" si="0"/>
        <v>50342</v>
      </c>
      <c r="C34">
        <f t="shared" si="1"/>
        <v>1.0030484767578554</v>
      </c>
      <c r="F34">
        <f t="shared" si="2"/>
        <v>40114</v>
      </c>
      <c r="G34">
        <f t="shared" si="3"/>
        <v>1.0345859231939751</v>
      </c>
      <c r="J34">
        <f t="shared" si="4"/>
        <v>63344</v>
      </c>
      <c r="K34">
        <f t="shared" si="5"/>
        <v>0.93641806489762736</v>
      </c>
    </row>
    <row r="35" spans="1:11" x14ac:dyDescent="0.25">
      <c r="A35" s="4">
        <v>2011</v>
      </c>
      <c r="B35">
        <f t="shared" si="0"/>
        <v>45008</v>
      </c>
      <c r="C35">
        <f t="shared" si="1"/>
        <v>0.89677020861144874</v>
      </c>
      <c r="F35">
        <f t="shared" si="2"/>
        <v>40392</v>
      </c>
      <c r="G35">
        <f t="shared" si="3"/>
        <v>1.0417558610373199</v>
      </c>
      <c r="J35">
        <f t="shared" si="4"/>
        <v>62344</v>
      </c>
      <c r="K35">
        <f t="shared" si="5"/>
        <v>0.92163500628279993</v>
      </c>
    </row>
    <row r="36" spans="1:11" x14ac:dyDescent="0.25">
      <c r="A36" s="4" t="s">
        <v>5</v>
      </c>
      <c r="B36">
        <f>B19+(B20-B19)/4</f>
        <v>44258.25</v>
      </c>
      <c r="C36">
        <f t="shared" si="1"/>
        <v>0.88183167626372316</v>
      </c>
      <c r="F36">
        <f>F19+(F20-F19)/4</f>
        <v>40003.5</v>
      </c>
      <c r="G36">
        <f t="shared" si="3"/>
        <v>1.0317360018569623</v>
      </c>
      <c r="J36">
        <f>J19+(J20-J19)/4</f>
        <v>62197.25</v>
      </c>
      <c r="K36">
        <f t="shared" si="5"/>
        <v>0.91946559243107395</v>
      </c>
    </row>
    <row r="39" spans="1:11" x14ac:dyDescent="0.25">
      <c r="A39" s="4">
        <v>2008</v>
      </c>
      <c r="B39">
        <f>C16</f>
        <v>21</v>
      </c>
      <c r="C39">
        <f>B39-$B$39</f>
        <v>0</v>
      </c>
      <c r="F39">
        <f>G16</f>
        <v>16.2</v>
      </c>
      <c r="G39">
        <f>F39-$F$39</f>
        <v>0</v>
      </c>
      <c r="J39">
        <f>K16</f>
        <v>28.299999999999997</v>
      </c>
      <c r="K39">
        <f>J39-$J$39</f>
        <v>0</v>
      </c>
    </row>
    <row r="40" spans="1:11" x14ac:dyDescent="0.25">
      <c r="A40" s="4">
        <v>2009</v>
      </c>
      <c r="B40">
        <f t="shared" ref="B40:B42" si="6">C17</f>
        <v>23.7</v>
      </c>
      <c r="C40">
        <f t="shared" ref="C40:C43" si="7">B40-$B$39</f>
        <v>2.6999999999999993</v>
      </c>
      <c r="F40">
        <f t="shared" ref="F40:F42" si="8">G17</f>
        <v>17.7</v>
      </c>
      <c r="G40">
        <f t="shared" ref="G40:G43" si="9">F40-$F$39</f>
        <v>1.5</v>
      </c>
      <c r="J40">
        <f t="shared" ref="J40:J42" si="10">K17</f>
        <v>27.099999999999998</v>
      </c>
      <c r="K40">
        <f t="shared" ref="K40:K43" si="11">J40-$J$39</f>
        <v>-1.1999999999999993</v>
      </c>
    </row>
    <row r="41" spans="1:11" x14ac:dyDescent="0.25">
      <c r="A41" s="4">
        <v>2010</v>
      </c>
      <c r="B41">
        <f t="shared" si="6"/>
        <v>22.5</v>
      </c>
      <c r="C41">
        <f t="shared" si="7"/>
        <v>1.5</v>
      </c>
      <c r="F41">
        <f t="shared" si="8"/>
        <v>17.899999999999999</v>
      </c>
      <c r="G41">
        <f t="shared" si="9"/>
        <v>1.6999999999999993</v>
      </c>
      <c r="J41">
        <f t="shared" si="10"/>
        <v>28.299999999999997</v>
      </c>
      <c r="K41">
        <f t="shared" si="11"/>
        <v>0</v>
      </c>
    </row>
    <row r="42" spans="1:11" x14ac:dyDescent="0.25">
      <c r="A42" s="4">
        <v>2011</v>
      </c>
      <c r="B42">
        <f t="shared" si="6"/>
        <v>22.1</v>
      </c>
      <c r="C42">
        <f>B42-$B$39</f>
        <v>1.1000000000000014</v>
      </c>
      <c r="F42">
        <f t="shared" si="8"/>
        <v>19.899999999999999</v>
      </c>
      <c r="G42">
        <f t="shared" si="9"/>
        <v>3.6999999999999993</v>
      </c>
      <c r="J42">
        <f t="shared" si="10"/>
        <v>30.6</v>
      </c>
      <c r="K42">
        <f t="shared" si="11"/>
        <v>2.3000000000000043</v>
      </c>
    </row>
    <row r="43" spans="1:11" x14ac:dyDescent="0.25">
      <c r="A43" s="4" t="s">
        <v>5</v>
      </c>
      <c r="B43">
        <f>C19+(C20-C19)/4</f>
        <v>22.225000000000001</v>
      </c>
      <c r="C43">
        <f t="shared" si="7"/>
        <v>1.2250000000000014</v>
      </c>
      <c r="F43">
        <f>G19+(G20-G19)/4</f>
        <v>20.149999999999999</v>
      </c>
      <c r="G43">
        <f t="shared" si="9"/>
        <v>3.9499999999999993</v>
      </c>
      <c r="J43">
        <f>K19+(K20-K19)/4</f>
        <v>31.25</v>
      </c>
      <c r="K43">
        <f t="shared" si="11"/>
        <v>2.9500000000000028</v>
      </c>
    </row>
    <row r="47" spans="1:11" x14ac:dyDescent="0.25">
      <c r="A47" s="2" t="s">
        <v>11</v>
      </c>
    </row>
    <row r="48" spans="1:11" x14ac:dyDescent="0.25">
      <c r="A48" s="9"/>
      <c r="B48" s="1" t="s">
        <v>6</v>
      </c>
      <c r="C48" s="1"/>
      <c r="D48" s="1" t="s">
        <v>7</v>
      </c>
      <c r="E48" s="1"/>
      <c r="F48" s="1" t="s">
        <v>8</v>
      </c>
      <c r="G48" s="1"/>
      <c r="H48" s="1" t="s">
        <v>9</v>
      </c>
      <c r="I48" s="1"/>
      <c r="J48" s="1"/>
      <c r="K48" s="1" t="s">
        <v>10</v>
      </c>
    </row>
    <row r="49" spans="1:12" x14ac:dyDescent="0.25">
      <c r="A49" s="9"/>
      <c r="B49" s="1" t="s">
        <v>1</v>
      </c>
      <c r="C49" s="1" t="s">
        <v>2</v>
      </c>
      <c r="D49" s="1" t="s">
        <v>1</v>
      </c>
      <c r="E49" s="1" t="s">
        <v>2</v>
      </c>
      <c r="F49" s="1" t="s">
        <v>1</v>
      </c>
      <c r="G49" s="1" t="s">
        <v>2</v>
      </c>
      <c r="H49" s="1" t="s">
        <v>1</v>
      </c>
      <c r="I49" s="1" t="s">
        <v>2</v>
      </c>
      <c r="J49" s="1"/>
      <c r="K49" s="1" t="s">
        <v>1</v>
      </c>
      <c r="L49" s="1" t="s">
        <v>2</v>
      </c>
    </row>
    <row r="50" spans="1:12" x14ac:dyDescent="0.25">
      <c r="A50" s="9">
        <v>1995</v>
      </c>
      <c r="B50" s="5">
        <v>6092.1</v>
      </c>
      <c r="C50" s="5">
        <v>5.9</v>
      </c>
      <c r="D50" s="6">
        <v>12850</v>
      </c>
      <c r="E50" s="5">
        <v>12.5</v>
      </c>
      <c r="F50" s="5">
        <v>6870.4</v>
      </c>
      <c r="G50" s="5">
        <v>6.7</v>
      </c>
      <c r="H50" s="5">
        <v>329.5</v>
      </c>
      <c r="I50" s="5">
        <v>0.3</v>
      </c>
      <c r="K50" s="7">
        <f>B50+D50+F50+H50</f>
        <v>26142</v>
      </c>
      <c r="L50" s="8">
        <f>C50+E50+G50+I50</f>
        <v>25.4</v>
      </c>
    </row>
    <row r="51" spans="1:12" x14ac:dyDescent="0.25">
      <c r="A51" s="9">
        <v>1996</v>
      </c>
      <c r="B51" s="5">
        <v>6681.3</v>
      </c>
      <c r="C51" s="6">
        <v>6</v>
      </c>
      <c r="D51" s="5">
        <v>14439.8</v>
      </c>
      <c r="E51" s="5">
        <v>12.9</v>
      </c>
      <c r="F51" s="5">
        <v>7357.1</v>
      </c>
      <c r="G51" s="5">
        <v>6.6</v>
      </c>
      <c r="H51" s="5">
        <v>326.8</v>
      </c>
      <c r="I51" s="5">
        <v>0.3</v>
      </c>
      <c r="K51" s="7">
        <f t="shared" ref="K51:L74" si="12">B51+D51+F51+H51</f>
        <v>28804.999999999996</v>
      </c>
      <c r="L51" s="8">
        <f t="shared" si="12"/>
        <v>25.8</v>
      </c>
    </row>
    <row r="52" spans="1:12" x14ac:dyDescent="0.25">
      <c r="A52" s="9">
        <v>1997</v>
      </c>
      <c r="B52" s="5">
        <v>7583.7</v>
      </c>
      <c r="C52" s="5">
        <v>6.2</v>
      </c>
      <c r="D52" s="5">
        <v>16057.5</v>
      </c>
      <c r="E52" s="5">
        <v>13.1</v>
      </c>
      <c r="F52" s="5">
        <v>9023.4</v>
      </c>
      <c r="G52" s="5">
        <v>7.4</v>
      </c>
      <c r="H52" s="5">
        <v>376.7</v>
      </c>
      <c r="I52" s="5">
        <v>0.3</v>
      </c>
      <c r="K52" s="7">
        <f t="shared" si="12"/>
        <v>33041.299999999996</v>
      </c>
      <c r="L52" s="8">
        <f t="shared" si="12"/>
        <v>27.000000000000004</v>
      </c>
    </row>
    <row r="53" spans="1:12" x14ac:dyDescent="0.25">
      <c r="A53" s="9">
        <v>1998</v>
      </c>
      <c r="B53" s="5">
        <v>7645.8</v>
      </c>
      <c r="C53" s="5">
        <v>6.1</v>
      </c>
      <c r="D53" s="5">
        <v>15938.7</v>
      </c>
      <c r="E53" s="5">
        <v>12.8</v>
      </c>
      <c r="F53" s="5">
        <v>10987.1</v>
      </c>
      <c r="G53" s="5">
        <v>8.8000000000000007</v>
      </c>
      <c r="H53" s="5">
        <v>349.3</v>
      </c>
      <c r="I53" s="5">
        <v>0.3</v>
      </c>
      <c r="K53" s="7">
        <f t="shared" si="12"/>
        <v>34920.9</v>
      </c>
      <c r="L53" s="8">
        <f t="shared" si="12"/>
        <v>28</v>
      </c>
    </row>
    <row r="54" spans="1:12" x14ac:dyDescent="0.25">
      <c r="A54" s="9">
        <v>1999</v>
      </c>
      <c r="B54" s="5">
        <v>8671.5</v>
      </c>
      <c r="C54" s="5">
        <v>6.4</v>
      </c>
      <c r="D54" s="5">
        <v>18132.7</v>
      </c>
      <c r="E54" s="5">
        <v>13.5</v>
      </c>
      <c r="F54" s="5">
        <v>12417.2</v>
      </c>
      <c r="G54" s="5">
        <v>9.1999999999999993</v>
      </c>
      <c r="H54" s="5">
        <v>338.9</v>
      </c>
      <c r="I54" s="5">
        <v>0.3</v>
      </c>
      <c r="K54" s="7">
        <f t="shared" si="12"/>
        <v>39560.300000000003</v>
      </c>
      <c r="L54" s="8">
        <f t="shared" si="12"/>
        <v>29.4</v>
      </c>
    </row>
    <row r="55" spans="1:12" x14ac:dyDescent="0.25">
      <c r="A55" s="9">
        <v>2000</v>
      </c>
      <c r="B55" s="5">
        <v>9036.2999999999993</v>
      </c>
      <c r="C55" s="5">
        <v>6.6</v>
      </c>
      <c r="D55" s="5">
        <v>18680.900000000001</v>
      </c>
      <c r="E55" s="5">
        <v>13.6</v>
      </c>
      <c r="F55" s="5">
        <v>13985.1</v>
      </c>
      <c r="G55" s="5">
        <v>10.1</v>
      </c>
      <c r="H55" s="5">
        <v>440.3</v>
      </c>
      <c r="I55" s="5">
        <v>0.3</v>
      </c>
      <c r="K55" s="7">
        <f t="shared" si="12"/>
        <v>42142.600000000006</v>
      </c>
      <c r="L55" s="8">
        <f t="shared" si="12"/>
        <v>30.599999999999998</v>
      </c>
    </row>
    <row r="56" spans="1:12" x14ac:dyDescent="0.25">
      <c r="A56" s="9">
        <v>2001</v>
      </c>
      <c r="B56" s="6">
        <v>10188</v>
      </c>
      <c r="C56" s="5">
        <v>6.9</v>
      </c>
      <c r="D56" s="6">
        <v>19383</v>
      </c>
      <c r="E56" s="5">
        <v>13.1</v>
      </c>
      <c r="F56" s="6">
        <v>13079</v>
      </c>
      <c r="G56" s="5">
        <v>8.9</v>
      </c>
      <c r="H56" s="6">
        <v>428</v>
      </c>
      <c r="I56" s="5">
        <v>0.3</v>
      </c>
      <c r="K56" s="7">
        <f t="shared" si="12"/>
        <v>43078</v>
      </c>
      <c r="L56" s="8">
        <f t="shared" si="12"/>
        <v>29.2</v>
      </c>
    </row>
    <row r="57" spans="1:12" x14ac:dyDescent="0.25">
      <c r="A57" s="9">
        <v>2002</v>
      </c>
      <c r="B57" s="6">
        <v>11972</v>
      </c>
      <c r="C57" s="5">
        <v>7.5</v>
      </c>
      <c r="D57" s="6">
        <v>21001</v>
      </c>
      <c r="E57" s="5">
        <v>13.2</v>
      </c>
      <c r="F57" s="6">
        <v>14481</v>
      </c>
      <c r="G57" s="5">
        <v>9.1</v>
      </c>
      <c r="H57" s="6">
        <v>376</v>
      </c>
      <c r="I57" s="5">
        <v>0.2</v>
      </c>
      <c r="K57" s="7">
        <f t="shared" si="12"/>
        <v>47830</v>
      </c>
      <c r="L57" s="8">
        <f t="shared" si="12"/>
        <v>29.999999999999996</v>
      </c>
    </row>
    <row r="58" spans="1:12" x14ac:dyDescent="0.25">
      <c r="A58" s="9">
        <v>2003</v>
      </c>
      <c r="B58" s="6">
        <v>12067</v>
      </c>
      <c r="C58" s="5">
        <v>6.9</v>
      </c>
      <c r="D58" s="6">
        <v>21680</v>
      </c>
      <c r="E58" s="5">
        <v>12.5</v>
      </c>
      <c r="F58" s="6">
        <v>14476</v>
      </c>
      <c r="G58" s="5">
        <v>8.3000000000000007</v>
      </c>
      <c r="H58" s="6">
        <v>291</v>
      </c>
      <c r="I58" s="5">
        <v>0.2</v>
      </c>
      <c r="K58" s="7">
        <f t="shared" si="12"/>
        <v>48514</v>
      </c>
      <c r="L58" s="8">
        <f t="shared" si="12"/>
        <v>27.9</v>
      </c>
    </row>
    <row r="59" spans="1:12" x14ac:dyDescent="0.25">
      <c r="A59" s="9">
        <v>2004</v>
      </c>
      <c r="B59" s="6">
        <v>12578</v>
      </c>
      <c r="C59" s="5">
        <v>6.7</v>
      </c>
      <c r="D59" s="6">
        <v>22444</v>
      </c>
      <c r="E59" s="5">
        <v>11.9</v>
      </c>
      <c r="F59" s="6">
        <v>15618</v>
      </c>
      <c r="G59" s="5">
        <v>8.3000000000000007</v>
      </c>
      <c r="H59" s="6">
        <v>324</v>
      </c>
      <c r="I59" s="5">
        <v>0.2</v>
      </c>
      <c r="K59" s="7">
        <f t="shared" si="12"/>
        <v>50964</v>
      </c>
      <c r="L59" s="8">
        <f t="shared" si="12"/>
        <v>27.1</v>
      </c>
    </row>
    <row r="60" spans="1:12" x14ac:dyDescent="0.25">
      <c r="A60" s="9">
        <v>2005</v>
      </c>
      <c r="B60" s="6">
        <v>13398</v>
      </c>
      <c r="C60" s="5">
        <v>6.9</v>
      </c>
      <c r="D60" s="6">
        <v>23632</v>
      </c>
      <c r="E60" s="5">
        <v>12.1</v>
      </c>
      <c r="F60" s="6">
        <v>17878</v>
      </c>
      <c r="G60" s="5">
        <v>9.1999999999999993</v>
      </c>
      <c r="H60" s="6">
        <v>394</v>
      </c>
      <c r="I60" s="5">
        <v>0.2</v>
      </c>
      <c r="K60" s="7">
        <f t="shared" si="12"/>
        <v>55302</v>
      </c>
      <c r="L60" s="8">
        <f t="shared" si="12"/>
        <v>28.4</v>
      </c>
    </row>
    <row r="61" spans="1:12" x14ac:dyDescent="0.25">
      <c r="A61" s="9">
        <v>2006</v>
      </c>
      <c r="B61" s="6">
        <v>14755</v>
      </c>
      <c r="C61" s="5">
        <v>6.9</v>
      </c>
      <c r="D61" s="6">
        <v>26688</v>
      </c>
      <c r="E61" s="5">
        <v>12.5</v>
      </c>
      <c r="F61" s="6">
        <v>18009</v>
      </c>
      <c r="G61" s="5">
        <v>8.4</v>
      </c>
      <c r="H61" s="6">
        <v>325</v>
      </c>
      <c r="I61" s="5">
        <v>0.2</v>
      </c>
      <c r="K61" s="7">
        <f t="shared" si="12"/>
        <v>59777</v>
      </c>
      <c r="L61" s="8">
        <f t="shared" si="12"/>
        <v>27.999999999999996</v>
      </c>
    </row>
    <row r="62" spans="1:12" x14ac:dyDescent="0.25">
      <c r="A62" s="9">
        <v>2007</v>
      </c>
      <c r="B62" s="6">
        <v>16511</v>
      </c>
      <c r="C62" s="5">
        <v>7.2</v>
      </c>
      <c r="D62" s="6">
        <v>29241</v>
      </c>
      <c r="E62" s="5">
        <v>12.8</v>
      </c>
      <c r="F62" s="6">
        <v>19199</v>
      </c>
      <c r="G62" s="5">
        <v>8.4</v>
      </c>
      <c r="H62" s="6">
        <v>303</v>
      </c>
      <c r="I62" s="5">
        <v>0.1</v>
      </c>
      <c r="K62" s="7">
        <f t="shared" si="12"/>
        <v>65254</v>
      </c>
      <c r="L62" s="8">
        <f t="shared" si="12"/>
        <v>28.5</v>
      </c>
    </row>
    <row r="63" spans="1:12" x14ac:dyDescent="0.25">
      <c r="A63" s="9">
        <v>2008</v>
      </c>
      <c r="B63" s="6">
        <v>16978</v>
      </c>
      <c r="C63" s="5">
        <v>7.1</v>
      </c>
      <c r="D63" s="6">
        <v>30413</v>
      </c>
      <c r="E63" s="5">
        <v>12.7</v>
      </c>
      <c r="F63" s="6">
        <v>19640</v>
      </c>
      <c r="G63" s="5">
        <v>8.1999999999999993</v>
      </c>
      <c r="H63" s="6">
        <v>614</v>
      </c>
      <c r="I63" s="5">
        <v>0.3</v>
      </c>
      <c r="K63" s="7">
        <f t="shared" si="12"/>
        <v>67645</v>
      </c>
      <c r="L63" s="8">
        <f t="shared" si="12"/>
        <v>28.299999999999997</v>
      </c>
    </row>
    <row r="64" spans="1:12" x14ac:dyDescent="0.25">
      <c r="A64" s="9">
        <v>2009</v>
      </c>
      <c r="B64" s="6">
        <v>14879</v>
      </c>
      <c r="C64" s="5">
        <v>6.3</v>
      </c>
      <c r="D64" s="6">
        <v>27826</v>
      </c>
      <c r="E64" s="5">
        <v>11.9</v>
      </c>
      <c r="F64" s="6">
        <v>20292</v>
      </c>
      <c r="G64" s="5">
        <v>8.6999999999999993</v>
      </c>
      <c r="H64" s="6">
        <v>524</v>
      </c>
      <c r="I64" s="5">
        <v>0.2</v>
      </c>
      <c r="K64" s="7">
        <f t="shared" si="12"/>
        <v>63521</v>
      </c>
      <c r="L64" s="8">
        <f t="shared" si="12"/>
        <v>27.099999999999998</v>
      </c>
    </row>
    <row r="65" spans="1:12" x14ac:dyDescent="0.25">
      <c r="A65" s="9">
        <v>2010</v>
      </c>
      <c r="B65" s="6">
        <v>15958</v>
      </c>
      <c r="C65" s="5">
        <v>7.1</v>
      </c>
      <c r="D65" s="6">
        <v>28454</v>
      </c>
      <c r="E65" s="5">
        <v>12.7</v>
      </c>
      <c r="F65" s="6">
        <v>18682</v>
      </c>
      <c r="G65" s="5">
        <v>8.4</v>
      </c>
      <c r="H65" s="6">
        <v>250</v>
      </c>
      <c r="I65" s="5">
        <v>0.1</v>
      </c>
      <c r="K65" s="7">
        <f t="shared" si="12"/>
        <v>63344</v>
      </c>
      <c r="L65" s="8">
        <f t="shared" si="12"/>
        <v>28.299999999999997</v>
      </c>
    </row>
    <row r="66" spans="1:12" x14ac:dyDescent="0.25">
      <c r="A66" s="9">
        <v>2011</v>
      </c>
      <c r="B66" s="6">
        <v>15021</v>
      </c>
      <c r="C66" s="5">
        <v>7.4</v>
      </c>
      <c r="D66" s="6">
        <v>27971</v>
      </c>
      <c r="E66" s="5">
        <v>13.7</v>
      </c>
      <c r="F66" s="6">
        <v>19102</v>
      </c>
      <c r="G66" s="5">
        <v>9.4</v>
      </c>
      <c r="H66" s="6">
        <v>250</v>
      </c>
      <c r="I66" s="5">
        <v>0.1</v>
      </c>
      <c r="K66" s="7">
        <f t="shared" si="12"/>
        <v>62344</v>
      </c>
      <c r="L66" s="8">
        <f t="shared" si="12"/>
        <v>30.6</v>
      </c>
    </row>
    <row r="67" spans="1:12" x14ac:dyDescent="0.25">
      <c r="A67" s="9">
        <v>2012</v>
      </c>
      <c r="B67" s="6">
        <v>13713</v>
      </c>
      <c r="C67" s="5">
        <v>7.4</v>
      </c>
      <c r="D67" s="6">
        <v>27203</v>
      </c>
      <c r="E67" s="5">
        <v>14.6</v>
      </c>
      <c r="F67" s="6">
        <v>20680</v>
      </c>
      <c r="G67" s="5">
        <v>11.1</v>
      </c>
      <c r="H67" s="6">
        <v>161</v>
      </c>
      <c r="I67" s="5">
        <v>0.1</v>
      </c>
      <c r="K67" s="7">
        <f t="shared" si="12"/>
        <v>61757</v>
      </c>
      <c r="L67" s="8">
        <f t="shared" si="12"/>
        <v>33.200000000000003</v>
      </c>
    </row>
    <row r="68" spans="1:12" x14ac:dyDescent="0.25">
      <c r="A68" s="9">
        <v>2013</v>
      </c>
      <c r="B68" s="6">
        <v>12593</v>
      </c>
      <c r="C68" s="5">
        <v>7.1</v>
      </c>
      <c r="D68" s="6">
        <v>26615</v>
      </c>
      <c r="E68" s="5">
        <v>14.9</v>
      </c>
      <c r="F68" s="6">
        <v>18934</v>
      </c>
      <c r="G68" s="5">
        <v>10.6</v>
      </c>
      <c r="H68" s="6">
        <v>162</v>
      </c>
      <c r="I68" s="5">
        <v>0.1</v>
      </c>
      <c r="K68" s="7">
        <f>B68+D68+F68+H68</f>
        <v>58304</v>
      </c>
      <c r="L68" s="8">
        <f t="shared" si="12"/>
        <v>32.700000000000003</v>
      </c>
    </row>
    <row r="69" spans="1:12" x14ac:dyDescent="0.25">
      <c r="A69" s="9">
        <v>2014</v>
      </c>
      <c r="B69" s="6">
        <v>12676</v>
      </c>
      <c r="C69" s="5">
        <v>7.2</v>
      </c>
      <c r="D69" s="6">
        <v>28728</v>
      </c>
      <c r="E69" s="5">
        <v>16.3</v>
      </c>
      <c r="F69" s="6">
        <v>17419</v>
      </c>
      <c r="G69" s="5">
        <v>9.9</v>
      </c>
      <c r="H69" s="6">
        <v>137</v>
      </c>
      <c r="I69" s="5">
        <v>0.1</v>
      </c>
      <c r="K69" s="7">
        <f t="shared" si="12"/>
        <v>58960</v>
      </c>
      <c r="L69" s="8">
        <f t="shared" si="12"/>
        <v>33.5</v>
      </c>
    </row>
    <row r="70" spans="1:12" x14ac:dyDescent="0.25">
      <c r="A70" s="9">
        <v>2015</v>
      </c>
      <c r="B70" s="6">
        <v>12885</v>
      </c>
      <c r="C70" s="5">
        <v>7.3</v>
      </c>
      <c r="D70" s="6">
        <v>29137</v>
      </c>
      <c r="E70" s="5">
        <v>16.600000000000001</v>
      </c>
      <c r="F70" s="6">
        <v>16777</v>
      </c>
      <c r="G70" s="5">
        <v>9.6</v>
      </c>
      <c r="H70" s="6">
        <v>166</v>
      </c>
      <c r="I70" s="5">
        <v>0.1</v>
      </c>
      <c r="K70" s="7">
        <f t="shared" si="12"/>
        <v>58965</v>
      </c>
      <c r="L70" s="8">
        <f t="shared" si="12"/>
        <v>33.6</v>
      </c>
    </row>
    <row r="71" spans="1:12" x14ac:dyDescent="0.25">
      <c r="A71" s="9">
        <v>2016</v>
      </c>
      <c r="B71" s="6">
        <v>14333</v>
      </c>
      <c r="C71" s="5">
        <v>8.1999999999999993</v>
      </c>
      <c r="D71" s="6">
        <v>30899</v>
      </c>
      <c r="E71" s="5">
        <v>17.7</v>
      </c>
      <c r="F71" s="6">
        <v>17776</v>
      </c>
      <c r="G71" s="5">
        <v>10.199999999999999</v>
      </c>
      <c r="H71" s="6">
        <v>136</v>
      </c>
      <c r="I71" s="5">
        <v>0.1</v>
      </c>
      <c r="K71" s="7">
        <f t="shared" si="12"/>
        <v>63144</v>
      </c>
      <c r="L71" s="8">
        <f t="shared" si="12"/>
        <v>36.199999999999996</v>
      </c>
    </row>
    <row r="72" spans="1:12" x14ac:dyDescent="0.25">
      <c r="A72" s="9">
        <v>2017</v>
      </c>
      <c r="B72" s="6">
        <v>14642</v>
      </c>
      <c r="C72" s="5">
        <v>8.3000000000000007</v>
      </c>
      <c r="D72" s="6">
        <v>31221</v>
      </c>
      <c r="E72" s="5">
        <v>17.600000000000001</v>
      </c>
      <c r="F72" s="6">
        <v>17734</v>
      </c>
      <c r="G72" s="6">
        <v>10</v>
      </c>
      <c r="H72" s="6">
        <v>179</v>
      </c>
      <c r="I72" s="5">
        <v>0.1</v>
      </c>
      <c r="K72" s="7">
        <f t="shared" si="12"/>
        <v>63776</v>
      </c>
      <c r="L72" s="8">
        <f t="shared" si="12"/>
        <v>36.000000000000007</v>
      </c>
    </row>
    <row r="73" spans="1:12" x14ac:dyDescent="0.25">
      <c r="A73" s="9">
        <v>2018</v>
      </c>
      <c r="B73" s="6">
        <v>15288</v>
      </c>
      <c r="C73" s="5">
        <v>8.5</v>
      </c>
      <c r="D73" s="6">
        <v>31911</v>
      </c>
      <c r="E73" s="5">
        <v>17.7</v>
      </c>
      <c r="F73" s="6">
        <v>18598</v>
      </c>
      <c r="G73" s="5">
        <v>10.3</v>
      </c>
      <c r="H73" s="6">
        <v>160</v>
      </c>
      <c r="I73" s="5">
        <v>0.1</v>
      </c>
      <c r="K73" s="7">
        <f t="shared" si="12"/>
        <v>65957</v>
      </c>
      <c r="L73" s="8">
        <f t="shared" si="12"/>
        <v>36.6</v>
      </c>
    </row>
    <row r="74" spans="1:12" x14ac:dyDescent="0.25">
      <c r="A74" s="9">
        <v>2019</v>
      </c>
      <c r="B74" s="6">
        <v>15390</v>
      </c>
      <c r="C74" s="5">
        <v>8.3000000000000007</v>
      </c>
      <c r="D74" s="6">
        <v>32270</v>
      </c>
      <c r="E74" s="5">
        <v>17.399999999999999</v>
      </c>
      <c r="F74" s="6">
        <v>17224</v>
      </c>
      <c r="G74" s="5">
        <v>9.3000000000000007</v>
      </c>
      <c r="H74" s="6">
        <v>270</v>
      </c>
      <c r="I74" s="5">
        <v>0.1</v>
      </c>
      <c r="K74" s="7">
        <f t="shared" si="12"/>
        <v>65154</v>
      </c>
      <c r="L74" s="8">
        <f t="shared" si="12"/>
        <v>35.1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89D4-49B5-448A-8A62-F52B8855C0B7}">
  <dimension ref="A1:L74"/>
  <sheetViews>
    <sheetView workbookViewId="0">
      <selection activeCell="J44" sqref="J44"/>
    </sheetView>
  </sheetViews>
  <sheetFormatPr defaultRowHeight="15" x14ac:dyDescent="0.25"/>
  <sheetData>
    <row r="1" spans="1:11" x14ac:dyDescent="0.25">
      <c r="A1" t="s">
        <v>0</v>
      </c>
      <c r="F1" t="s">
        <v>3</v>
      </c>
      <c r="J1" t="s">
        <v>4</v>
      </c>
    </row>
    <row r="2" spans="1:11" x14ac:dyDescent="0.25">
      <c r="B2" s="1" t="s">
        <v>1</v>
      </c>
      <c r="C2" s="1" t="s">
        <v>2</v>
      </c>
      <c r="F2" s="1" t="s">
        <v>1</v>
      </c>
      <c r="G2" s="1" t="s">
        <v>2</v>
      </c>
      <c r="H2" s="1"/>
      <c r="J2" s="1" t="s">
        <v>1</v>
      </c>
      <c r="K2" s="1" t="s">
        <v>2</v>
      </c>
    </row>
    <row r="3" spans="1:11" x14ac:dyDescent="0.25">
      <c r="A3" s="4">
        <v>1995</v>
      </c>
      <c r="B3" s="6">
        <v>9105</v>
      </c>
      <c r="C3" s="5">
        <v>17.2</v>
      </c>
      <c r="F3" s="5">
        <v>5637.7</v>
      </c>
      <c r="G3" s="5">
        <v>10.7</v>
      </c>
      <c r="J3">
        <v>18028.299999999996</v>
      </c>
      <c r="K3">
        <v>34.1</v>
      </c>
    </row>
    <row r="4" spans="1:11" x14ac:dyDescent="0.25">
      <c r="A4" s="4">
        <v>1996</v>
      </c>
      <c r="B4" s="6">
        <v>9906</v>
      </c>
      <c r="C4" s="5">
        <v>16.600000000000001</v>
      </c>
      <c r="F4" s="5">
        <v>6126.1</v>
      </c>
      <c r="G4" s="5">
        <v>10.3</v>
      </c>
      <c r="J4">
        <v>20835.399999999998</v>
      </c>
      <c r="K4">
        <v>35</v>
      </c>
    </row>
    <row r="5" spans="1:11" x14ac:dyDescent="0.25">
      <c r="A5" s="4">
        <v>1997</v>
      </c>
      <c r="B5" s="5">
        <v>11785.9</v>
      </c>
      <c r="C5" s="5">
        <v>16.100000000000001</v>
      </c>
      <c r="F5" s="5">
        <v>7558.2</v>
      </c>
      <c r="G5" s="5">
        <v>10.3</v>
      </c>
      <c r="J5">
        <v>25229.3</v>
      </c>
      <c r="K5">
        <v>34.6</v>
      </c>
    </row>
    <row r="6" spans="1:11" x14ac:dyDescent="0.25">
      <c r="A6" s="4">
        <v>1998</v>
      </c>
      <c r="B6" s="5">
        <v>12526.3</v>
      </c>
      <c r="C6" s="5">
        <v>15.5</v>
      </c>
      <c r="F6" s="5">
        <v>7451.1</v>
      </c>
      <c r="G6" s="5">
        <v>9.1999999999999993</v>
      </c>
      <c r="J6">
        <v>27438</v>
      </c>
      <c r="K6">
        <v>34</v>
      </c>
    </row>
    <row r="7" spans="1:11" x14ac:dyDescent="0.25">
      <c r="A7" s="4">
        <v>1999</v>
      </c>
      <c r="B7" s="5">
        <v>13942.9</v>
      </c>
      <c r="C7" s="6">
        <v>15</v>
      </c>
      <c r="F7" s="5">
        <v>7542.5</v>
      </c>
      <c r="G7" s="5">
        <v>8.1</v>
      </c>
      <c r="J7">
        <v>31669.5</v>
      </c>
      <c r="K7">
        <v>34.200000000000003</v>
      </c>
    </row>
    <row r="8" spans="1:11" x14ac:dyDescent="0.25">
      <c r="A8" s="4">
        <v>2000</v>
      </c>
      <c r="B8" s="5">
        <v>15998.6</v>
      </c>
      <c r="C8" s="5">
        <v>14.7</v>
      </c>
      <c r="F8" s="5">
        <v>7969.1</v>
      </c>
      <c r="G8" s="5">
        <v>7.3</v>
      </c>
      <c r="J8">
        <v>36818.400000000001</v>
      </c>
      <c r="K8">
        <v>33.799999999999997</v>
      </c>
    </row>
    <row r="9" spans="1:11" x14ac:dyDescent="0.25">
      <c r="A9" s="4">
        <v>2001</v>
      </c>
      <c r="B9" s="5">
        <v>18801.5</v>
      </c>
      <c r="C9" s="5">
        <v>15.4</v>
      </c>
      <c r="F9" s="5">
        <v>9620.5</v>
      </c>
      <c r="G9" s="5">
        <v>7.9</v>
      </c>
      <c r="J9">
        <v>38209</v>
      </c>
      <c r="K9">
        <v>31.3</v>
      </c>
    </row>
    <row r="10" spans="1:11" x14ac:dyDescent="0.25">
      <c r="A10" s="4">
        <v>2002</v>
      </c>
      <c r="B10" s="5">
        <v>21496.1</v>
      </c>
      <c r="C10" s="5">
        <v>15.8</v>
      </c>
      <c r="F10" s="5">
        <v>11265.6</v>
      </c>
      <c r="G10" s="5">
        <v>8.3000000000000007</v>
      </c>
      <c r="J10">
        <v>41863.299999999996</v>
      </c>
      <c r="K10">
        <v>30.800000000000004</v>
      </c>
    </row>
    <row r="11" spans="1:11" x14ac:dyDescent="0.25">
      <c r="A11" s="4">
        <v>2003</v>
      </c>
      <c r="B11" s="5">
        <v>23373.599999999999</v>
      </c>
      <c r="C11" s="5">
        <v>16.100000000000001</v>
      </c>
      <c r="F11" s="5">
        <v>12086.6</v>
      </c>
      <c r="G11" s="5">
        <v>8.3000000000000007</v>
      </c>
      <c r="J11">
        <v>45816.800000000003</v>
      </c>
      <c r="K11">
        <v>31.400000000000002</v>
      </c>
    </row>
    <row r="12" spans="1:11" x14ac:dyDescent="0.25">
      <c r="A12" s="4">
        <v>2004</v>
      </c>
      <c r="B12" s="6">
        <v>25261</v>
      </c>
      <c r="C12" s="5">
        <v>16.2</v>
      </c>
      <c r="F12" s="5">
        <v>13328.3</v>
      </c>
      <c r="G12" s="5">
        <v>8.5</v>
      </c>
      <c r="J12">
        <v>51046.1</v>
      </c>
      <c r="K12">
        <v>32.6</v>
      </c>
    </row>
    <row r="13" spans="1:11" x14ac:dyDescent="0.25">
      <c r="A13" s="4">
        <v>2005</v>
      </c>
      <c r="B13" s="5">
        <v>27346.3</v>
      </c>
      <c r="C13" s="5">
        <v>16.100000000000001</v>
      </c>
      <c r="F13" s="5">
        <v>15107.6</v>
      </c>
      <c r="G13" s="5">
        <v>8.9</v>
      </c>
      <c r="J13">
        <v>56767.6</v>
      </c>
      <c r="K13">
        <v>33.400000000000006</v>
      </c>
    </row>
    <row r="14" spans="1:11" x14ac:dyDescent="0.25">
      <c r="A14" s="4">
        <v>2006</v>
      </c>
      <c r="B14" s="5">
        <v>30005.9</v>
      </c>
      <c r="C14" s="5">
        <v>16.2</v>
      </c>
      <c r="F14" s="6">
        <v>16863</v>
      </c>
      <c r="G14" s="5">
        <v>9.1</v>
      </c>
      <c r="J14">
        <v>64432</v>
      </c>
      <c r="K14">
        <v>34.900000000000006</v>
      </c>
    </row>
    <row r="15" spans="1:11" x14ac:dyDescent="0.25">
      <c r="A15" s="4">
        <v>2007</v>
      </c>
      <c r="B15" s="5">
        <v>33200.300000000003</v>
      </c>
      <c r="C15" s="5">
        <v>16.8</v>
      </c>
      <c r="F15" s="6">
        <v>19154</v>
      </c>
      <c r="G15" s="5">
        <v>9.6999999999999993</v>
      </c>
      <c r="J15">
        <v>66729.2</v>
      </c>
      <c r="K15">
        <v>33.799999999999997</v>
      </c>
    </row>
    <row r="16" spans="1:11" x14ac:dyDescent="0.25">
      <c r="A16" s="4">
        <v>2008</v>
      </c>
      <c r="B16" s="5">
        <v>34932.800000000003</v>
      </c>
      <c r="C16" s="5">
        <v>18.7</v>
      </c>
      <c r="F16" s="5">
        <v>21814.2</v>
      </c>
      <c r="G16" s="5">
        <v>11.6</v>
      </c>
      <c r="J16">
        <v>58973.5</v>
      </c>
      <c r="K16">
        <v>31.5</v>
      </c>
    </row>
    <row r="17" spans="1:11" x14ac:dyDescent="0.25">
      <c r="A17" s="4">
        <v>2009</v>
      </c>
      <c r="B17" s="5">
        <v>33972.800000000003</v>
      </c>
      <c r="C17" s="6">
        <v>20</v>
      </c>
      <c r="F17" s="5">
        <v>24307.3</v>
      </c>
      <c r="G17" s="5">
        <v>14.3</v>
      </c>
      <c r="J17">
        <v>49054.400000000001</v>
      </c>
      <c r="K17">
        <v>28.999999999999996</v>
      </c>
    </row>
    <row r="18" spans="1:11" x14ac:dyDescent="0.25">
      <c r="A18" s="4">
        <v>2010</v>
      </c>
      <c r="B18" s="5">
        <v>31244.5</v>
      </c>
      <c r="C18" s="5">
        <v>18.7</v>
      </c>
      <c r="F18" s="5">
        <v>23896.3</v>
      </c>
      <c r="G18" s="5">
        <v>14.3</v>
      </c>
      <c r="J18">
        <v>47957.599999999999</v>
      </c>
      <c r="K18">
        <v>28.6</v>
      </c>
    </row>
    <row r="19" spans="1:11" x14ac:dyDescent="0.25">
      <c r="A19" s="4">
        <v>2011</v>
      </c>
      <c r="B19" s="5">
        <v>32809.800000000003</v>
      </c>
      <c r="C19" s="5">
        <v>18.899999999999999</v>
      </c>
      <c r="F19" s="5">
        <v>23947.8</v>
      </c>
      <c r="G19" s="5">
        <v>13.8</v>
      </c>
      <c r="J19">
        <v>48630.599999999991</v>
      </c>
      <c r="K19">
        <v>28</v>
      </c>
    </row>
    <row r="20" spans="1:11" x14ac:dyDescent="0.25">
      <c r="A20" s="4">
        <v>2012</v>
      </c>
      <c r="B20" s="5">
        <v>31977.200000000001</v>
      </c>
      <c r="C20" s="5">
        <v>18.100000000000001</v>
      </c>
      <c r="F20" s="5">
        <v>24281.599999999999</v>
      </c>
      <c r="G20" s="5">
        <v>13.7</v>
      </c>
      <c r="J20">
        <v>51159.3</v>
      </c>
      <c r="K20">
        <v>28.999999999999996</v>
      </c>
    </row>
    <row r="21" spans="1:11" x14ac:dyDescent="0.25">
      <c r="A21" s="4">
        <v>2013</v>
      </c>
      <c r="B21" s="5">
        <v>30825.200000000001</v>
      </c>
      <c r="C21" s="5">
        <v>16.8</v>
      </c>
      <c r="F21" s="5">
        <v>23565.1</v>
      </c>
      <c r="G21" s="5">
        <v>12.9</v>
      </c>
      <c r="J21">
        <v>52889.000000000007</v>
      </c>
      <c r="K21">
        <v>28.9</v>
      </c>
    </row>
    <row r="22" spans="1:11" x14ac:dyDescent="0.25">
      <c r="A22" s="4">
        <v>2014</v>
      </c>
      <c r="B22" s="5">
        <v>32087.3</v>
      </c>
      <c r="C22" s="6">
        <v>16</v>
      </c>
      <c r="F22" s="6">
        <v>22977</v>
      </c>
      <c r="G22" s="5">
        <v>11.4</v>
      </c>
      <c r="J22">
        <v>58035</v>
      </c>
      <c r="K22">
        <v>28.900000000000002</v>
      </c>
    </row>
    <row r="23" spans="1:11" x14ac:dyDescent="0.25">
      <c r="A23" s="4">
        <v>2015</v>
      </c>
      <c r="B23" s="5">
        <v>33008.800000000003</v>
      </c>
      <c r="C23" s="5">
        <v>12.1</v>
      </c>
      <c r="F23" s="5">
        <v>22995.9</v>
      </c>
      <c r="G23" s="5">
        <v>8.4</v>
      </c>
      <c r="J23">
        <v>62581.200000000004</v>
      </c>
      <c r="K23">
        <v>22.900000000000002</v>
      </c>
    </row>
    <row r="24" spans="1:11" x14ac:dyDescent="0.25">
      <c r="A24" s="4">
        <v>2016</v>
      </c>
      <c r="B24" s="5">
        <v>34623.1</v>
      </c>
      <c r="C24" s="5">
        <v>12.5</v>
      </c>
      <c r="F24" s="5">
        <v>22729.8</v>
      </c>
      <c r="G24" s="5">
        <v>8.1999999999999993</v>
      </c>
      <c r="J24">
        <v>65416.099999999991</v>
      </c>
      <c r="K24">
        <v>23.700000000000003</v>
      </c>
    </row>
    <row r="25" spans="1:11" x14ac:dyDescent="0.25">
      <c r="A25" s="4">
        <v>2017</v>
      </c>
      <c r="B25" s="5">
        <v>36818.6</v>
      </c>
      <c r="C25" s="5">
        <v>11.9</v>
      </c>
      <c r="F25" s="6">
        <v>22969</v>
      </c>
      <c r="G25" s="5">
        <v>7.4</v>
      </c>
      <c r="J25">
        <v>68780.100000000006</v>
      </c>
      <c r="K25">
        <v>22.200000000000003</v>
      </c>
    </row>
    <row r="26" spans="1:11" x14ac:dyDescent="0.25">
      <c r="A26" s="4">
        <v>2018</v>
      </c>
      <c r="B26" s="5">
        <v>39404.800000000003</v>
      </c>
      <c r="C26" s="5">
        <v>11.8</v>
      </c>
      <c r="F26" s="5">
        <v>23275.7</v>
      </c>
      <c r="G26" s="6">
        <v>7</v>
      </c>
      <c r="J26">
        <v>74658.100000000006</v>
      </c>
      <c r="K26">
        <v>22.3</v>
      </c>
    </row>
    <row r="27" spans="1:11" x14ac:dyDescent="0.25">
      <c r="A27" s="4">
        <v>2019</v>
      </c>
      <c r="B27" s="5">
        <v>42852.7</v>
      </c>
      <c r="C27" s="5">
        <v>11.8</v>
      </c>
      <c r="F27" s="5">
        <v>24060.6</v>
      </c>
      <c r="G27" s="5">
        <v>6.6</v>
      </c>
      <c r="J27">
        <v>79877.3</v>
      </c>
      <c r="K27">
        <v>21.900000000000002</v>
      </c>
    </row>
    <row r="28" spans="1:11" x14ac:dyDescent="0.25">
      <c r="A28" s="4"/>
    </row>
    <row r="29" spans="1:11" x14ac:dyDescent="0.25">
      <c r="A29" s="4"/>
    </row>
    <row r="30" spans="1:11" x14ac:dyDescent="0.25">
      <c r="A30" s="4"/>
    </row>
    <row r="31" spans="1:11" x14ac:dyDescent="0.25">
      <c r="A31" s="4"/>
    </row>
    <row r="32" spans="1:11" x14ac:dyDescent="0.25">
      <c r="A32" s="4">
        <v>2007</v>
      </c>
      <c r="B32" s="12">
        <f>B15</f>
        <v>33200.300000000003</v>
      </c>
      <c r="C32">
        <f>B32/$B$32</f>
        <v>1</v>
      </c>
      <c r="F32" s="8">
        <f>F15</f>
        <v>19154</v>
      </c>
      <c r="G32">
        <f>F32/$F$32</f>
        <v>1</v>
      </c>
      <c r="J32">
        <f>J15</f>
        <v>66729.2</v>
      </c>
      <c r="K32">
        <f>J32/$J$32</f>
        <v>1</v>
      </c>
    </row>
    <row r="33" spans="1:11" x14ac:dyDescent="0.25">
      <c r="A33" s="4">
        <v>2008</v>
      </c>
      <c r="B33" s="12">
        <f t="shared" ref="B33:B35" si="0">B16</f>
        <v>34932.800000000003</v>
      </c>
      <c r="C33">
        <f t="shared" ref="C33:C36" si="1">B33/$B$32</f>
        <v>1.0521832634042463</v>
      </c>
      <c r="F33" s="8">
        <f t="shared" ref="F33:F35" si="2">F16</f>
        <v>21814.2</v>
      </c>
      <c r="G33">
        <f t="shared" ref="G33:G36" si="3">F33/$F$32</f>
        <v>1.1388848282343114</v>
      </c>
      <c r="J33">
        <f t="shared" ref="J33:J35" si="4">J16</f>
        <v>58973.5</v>
      </c>
      <c r="K33">
        <f t="shared" ref="K33:K36" si="5">J33/$J$32</f>
        <v>0.88377352043782931</v>
      </c>
    </row>
    <row r="34" spans="1:11" x14ac:dyDescent="0.25">
      <c r="A34" s="4">
        <v>2009</v>
      </c>
      <c r="B34" s="12">
        <f t="shared" si="0"/>
        <v>33972.800000000003</v>
      </c>
      <c r="C34">
        <f t="shared" si="1"/>
        <v>1.0232678620373912</v>
      </c>
      <c r="F34" s="8">
        <f t="shared" si="2"/>
        <v>24307.3</v>
      </c>
      <c r="G34">
        <f t="shared" si="3"/>
        <v>1.269045630155581</v>
      </c>
      <c r="J34">
        <f t="shared" si="4"/>
        <v>49054.400000000001</v>
      </c>
      <c r="K34">
        <f t="shared" si="5"/>
        <v>0.73512645138859756</v>
      </c>
    </row>
    <row r="35" spans="1:11" x14ac:dyDescent="0.25">
      <c r="A35" s="4">
        <v>2010</v>
      </c>
      <c r="B35" s="12">
        <f t="shared" si="0"/>
        <v>31244.5</v>
      </c>
      <c r="C35">
        <f t="shared" si="1"/>
        <v>0.94109089375698407</v>
      </c>
      <c r="F35" s="8">
        <f t="shared" si="2"/>
        <v>23896.3</v>
      </c>
      <c r="G35">
        <f t="shared" si="3"/>
        <v>1.2475879711809543</v>
      </c>
      <c r="J35">
        <f t="shared" si="4"/>
        <v>47957.599999999999</v>
      </c>
      <c r="K35">
        <f t="shared" si="5"/>
        <v>0.71868986890296904</v>
      </c>
    </row>
    <row r="36" spans="1:11" x14ac:dyDescent="0.25">
      <c r="A36" s="4" t="s">
        <v>12</v>
      </c>
      <c r="B36">
        <f>B18+(B19-B18)*2/4</f>
        <v>32027.15</v>
      </c>
      <c r="C36">
        <f t="shared" si="1"/>
        <v>0.96466447592341031</v>
      </c>
      <c r="F36">
        <f>F18+(F19-F18)*2/4</f>
        <v>23922.05</v>
      </c>
      <c r="G36">
        <f t="shared" si="3"/>
        <v>1.2489323378928683</v>
      </c>
      <c r="J36">
        <f>J18+(J19-J18)*2/4</f>
        <v>48294.099999999991</v>
      </c>
      <c r="K36">
        <f t="shared" si="5"/>
        <v>0.72373263878481975</v>
      </c>
    </row>
    <row r="39" spans="1:11" x14ac:dyDescent="0.25">
      <c r="A39" s="4">
        <v>2007</v>
      </c>
      <c r="B39" s="12">
        <f>C15</f>
        <v>16.8</v>
      </c>
      <c r="C39">
        <f>B39-$B$39</f>
        <v>0</v>
      </c>
      <c r="F39" s="12">
        <f>G15</f>
        <v>9.6999999999999993</v>
      </c>
      <c r="G39">
        <f>F39-$F$39</f>
        <v>0</v>
      </c>
      <c r="J39">
        <f>K15</f>
        <v>33.799999999999997</v>
      </c>
      <c r="K39">
        <f>J39-$J$39</f>
        <v>0</v>
      </c>
    </row>
    <row r="40" spans="1:11" x14ac:dyDescent="0.25">
      <c r="A40" s="4">
        <v>2008</v>
      </c>
      <c r="B40" s="12">
        <f t="shared" ref="B40:B42" si="6">C16</f>
        <v>18.7</v>
      </c>
      <c r="C40">
        <f t="shared" ref="C40:C43" si="7">B40-$B$39</f>
        <v>1.8999999999999986</v>
      </c>
      <c r="F40" s="12">
        <f t="shared" ref="F40:F42" si="8">G16</f>
        <v>11.6</v>
      </c>
      <c r="G40">
        <f t="shared" ref="G40:G43" si="9">F40-$F$39</f>
        <v>1.9000000000000004</v>
      </c>
      <c r="J40">
        <f t="shared" ref="J40:J42" si="10">K16</f>
        <v>31.5</v>
      </c>
      <c r="K40">
        <f t="shared" ref="K40:K43" si="11">J40-$J$39</f>
        <v>-2.2999999999999972</v>
      </c>
    </row>
    <row r="41" spans="1:11" x14ac:dyDescent="0.25">
      <c r="A41" s="4">
        <v>2009</v>
      </c>
      <c r="B41" s="12">
        <f t="shared" si="6"/>
        <v>20</v>
      </c>
      <c r="C41" s="8">
        <f>B41-$B$39</f>
        <v>3.1999999999999993</v>
      </c>
      <c r="F41" s="12">
        <f t="shared" si="8"/>
        <v>14.3</v>
      </c>
      <c r="G41">
        <f t="shared" si="9"/>
        <v>4.6000000000000014</v>
      </c>
      <c r="J41">
        <f t="shared" si="10"/>
        <v>28.999999999999996</v>
      </c>
      <c r="K41">
        <f t="shared" si="11"/>
        <v>-4.8000000000000007</v>
      </c>
    </row>
    <row r="42" spans="1:11" x14ac:dyDescent="0.25">
      <c r="A42" s="4">
        <v>2010</v>
      </c>
      <c r="B42" s="12">
        <f t="shared" si="6"/>
        <v>18.7</v>
      </c>
      <c r="C42">
        <f t="shared" si="7"/>
        <v>1.8999999999999986</v>
      </c>
      <c r="F42" s="12">
        <f t="shared" si="8"/>
        <v>14.3</v>
      </c>
      <c r="G42">
        <f t="shared" si="9"/>
        <v>4.6000000000000014</v>
      </c>
      <c r="J42">
        <f t="shared" si="10"/>
        <v>28.6</v>
      </c>
      <c r="K42">
        <f t="shared" si="11"/>
        <v>-5.1999999999999957</v>
      </c>
    </row>
    <row r="43" spans="1:11" x14ac:dyDescent="0.25">
      <c r="A43" s="4" t="s">
        <v>12</v>
      </c>
      <c r="B43">
        <f>C18+(C19-C18)*2/4</f>
        <v>18.799999999999997</v>
      </c>
      <c r="C43">
        <f t="shared" si="7"/>
        <v>1.9999999999999964</v>
      </c>
      <c r="F43">
        <f>G18+(G19-G18)*2/4</f>
        <v>14.05</v>
      </c>
      <c r="G43">
        <f t="shared" si="9"/>
        <v>4.3500000000000014</v>
      </c>
      <c r="J43">
        <f>K18+(K19-K18)*2/4</f>
        <v>28.3</v>
      </c>
      <c r="K43">
        <f t="shared" si="11"/>
        <v>-5.4999999999999964</v>
      </c>
    </row>
    <row r="47" spans="1:11" x14ac:dyDescent="0.25">
      <c r="A47" s="2" t="s">
        <v>11</v>
      </c>
    </row>
    <row r="48" spans="1:11" x14ac:dyDescent="0.25">
      <c r="A48" s="9"/>
      <c r="B48" s="1" t="s">
        <v>6</v>
      </c>
      <c r="C48" s="1"/>
      <c r="D48" s="1" t="s">
        <v>7</v>
      </c>
      <c r="E48" s="1"/>
      <c r="F48" s="1" t="s">
        <v>8</v>
      </c>
      <c r="G48" s="1"/>
      <c r="H48" s="1" t="s">
        <v>9</v>
      </c>
      <c r="I48" s="1"/>
      <c r="J48" s="1"/>
      <c r="K48" s="1" t="s">
        <v>10</v>
      </c>
    </row>
    <row r="49" spans="1:12" x14ac:dyDescent="0.25">
      <c r="A49" s="9"/>
      <c r="B49" s="1" t="s">
        <v>1</v>
      </c>
      <c r="C49" s="1" t="s">
        <v>2</v>
      </c>
      <c r="D49" s="1" t="s">
        <v>1</v>
      </c>
      <c r="E49" s="1" t="s">
        <v>2</v>
      </c>
      <c r="F49" s="1" t="s">
        <v>1</v>
      </c>
      <c r="G49" s="1" t="s">
        <v>2</v>
      </c>
      <c r="H49" s="1" t="s">
        <v>1</v>
      </c>
      <c r="I49" s="1" t="s">
        <v>2</v>
      </c>
      <c r="J49" s="1"/>
      <c r="K49" s="1" t="s">
        <v>1</v>
      </c>
      <c r="L49" s="1" t="s">
        <v>2</v>
      </c>
    </row>
    <row r="50" spans="1:12" x14ac:dyDescent="0.25">
      <c r="A50" s="9">
        <v>1995</v>
      </c>
      <c r="B50" s="5">
        <v>3607.5</v>
      </c>
      <c r="C50" s="5">
        <v>6.8</v>
      </c>
      <c r="D50" s="5">
        <v>7380.8</v>
      </c>
      <c r="E50" s="6">
        <v>14</v>
      </c>
      <c r="F50" s="5">
        <v>6966.9</v>
      </c>
      <c r="G50" s="5">
        <v>13.2</v>
      </c>
      <c r="H50" s="5">
        <v>73.099999999999994</v>
      </c>
      <c r="I50" s="5">
        <v>0.1</v>
      </c>
      <c r="K50" s="7">
        <f>B50+D50+F50+H50</f>
        <v>18028.299999999996</v>
      </c>
      <c r="L50" s="8">
        <f>C50+E50+G50+I50</f>
        <v>34.1</v>
      </c>
    </row>
    <row r="51" spans="1:12" x14ac:dyDescent="0.25">
      <c r="A51" s="9">
        <v>1996</v>
      </c>
      <c r="B51" s="5">
        <v>4161.6000000000004</v>
      </c>
      <c r="C51" s="6">
        <v>7</v>
      </c>
      <c r="D51" s="5">
        <v>8408.9</v>
      </c>
      <c r="E51" s="5">
        <v>14.1</v>
      </c>
      <c r="F51" s="5">
        <v>8162.1</v>
      </c>
      <c r="G51" s="5">
        <v>13.7</v>
      </c>
      <c r="H51" s="5">
        <v>102.8</v>
      </c>
      <c r="I51" s="5">
        <v>0.2</v>
      </c>
      <c r="K51" s="7">
        <f t="shared" ref="K51:L74" si="12">B51+D51+F51+H51</f>
        <v>20835.399999999998</v>
      </c>
      <c r="L51" s="8">
        <f t="shared" si="12"/>
        <v>35</v>
      </c>
    </row>
    <row r="52" spans="1:12" x14ac:dyDescent="0.25">
      <c r="A52" s="9">
        <v>1997</v>
      </c>
      <c r="B52" s="5">
        <v>5096.8999999999996</v>
      </c>
      <c r="C52" s="6">
        <v>7</v>
      </c>
      <c r="D52" s="5">
        <v>10030.200000000001</v>
      </c>
      <c r="E52" s="5">
        <v>13.7</v>
      </c>
      <c r="F52" s="5">
        <v>9983.5</v>
      </c>
      <c r="G52" s="5">
        <v>13.7</v>
      </c>
      <c r="H52" s="5">
        <v>118.7</v>
      </c>
      <c r="I52" s="5">
        <v>0.2</v>
      </c>
      <c r="K52" s="7">
        <f t="shared" si="12"/>
        <v>25229.3</v>
      </c>
      <c r="L52" s="8">
        <f t="shared" si="12"/>
        <v>34.6</v>
      </c>
    </row>
    <row r="53" spans="1:12" x14ac:dyDescent="0.25">
      <c r="A53" s="9">
        <v>1998</v>
      </c>
      <c r="B53" s="5">
        <v>5598.8</v>
      </c>
      <c r="C53" s="5">
        <v>6.9</v>
      </c>
      <c r="D53" s="5">
        <v>10882.5</v>
      </c>
      <c r="E53" s="5">
        <v>13.5</v>
      </c>
      <c r="F53" s="5">
        <v>10814.7</v>
      </c>
      <c r="G53" s="5">
        <v>13.4</v>
      </c>
      <c r="H53" s="6">
        <v>142</v>
      </c>
      <c r="I53" s="5">
        <v>0.2</v>
      </c>
      <c r="K53" s="7">
        <f t="shared" si="12"/>
        <v>27438</v>
      </c>
      <c r="L53" s="8">
        <f t="shared" si="12"/>
        <v>34</v>
      </c>
    </row>
    <row r="54" spans="1:12" x14ac:dyDescent="0.25">
      <c r="A54" s="9">
        <v>1999</v>
      </c>
      <c r="B54" s="5">
        <v>6400.8</v>
      </c>
      <c r="C54" s="5">
        <v>6.9</v>
      </c>
      <c r="D54" s="5">
        <v>12208.4</v>
      </c>
      <c r="E54" s="5">
        <v>13.2</v>
      </c>
      <c r="F54" s="6">
        <v>12868</v>
      </c>
      <c r="G54" s="5">
        <v>13.9</v>
      </c>
      <c r="H54" s="5">
        <v>192.3</v>
      </c>
      <c r="I54" s="5">
        <v>0.2</v>
      </c>
      <c r="K54" s="7">
        <f t="shared" si="12"/>
        <v>31669.5</v>
      </c>
      <c r="L54" s="8">
        <f t="shared" si="12"/>
        <v>34.200000000000003</v>
      </c>
    </row>
    <row r="55" spans="1:12" x14ac:dyDescent="0.25">
      <c r="A55" s="9">
        <v>2000</v>
      </c>
      <c r="B55" s="5">
        <v>7642.5</v>
      </c>
      <c r="C55" s="6">
        <v>7</v>
      </c>
      <c r="D55" s="5">
        <v>14040.2</v>
      </c>
      <c r="E55" s="5">
        <v>12.9</v>
      </c>
      <c r="F55" s="5">
        <v>14910.6</v>
      </c>
      <c r="G55" s="5">
        <v>13.7</v>
      </c>
      <c r="H55" s="5">
        <v>225.1</v>
      </c>
      <c r="I55" s="5">
        <v>0.2</v>
      </c>
      <c r="K55" s="7">
        <f t="shared" si="12"/>
        <v>36818.400000000001</v>
      </c>
      <c r="L55" s="8">
        <f t="shared" si="12"/>
        <v>33.799999999999997</v>
      </c>
    </row>
    <row r="56" spans="1:12" x14ac:dyDescent="0.25">
      <c r="A56" s="9">
        <v>2001</v>
      </c>
      <c r="B56" s="5">
        <v>7995.5</v>
      </c>
      <c r="C56" s="5">
        <v>6.5</v>
      </c>
      <c r="D56" s="5">
        <v>14594.1</v>
      </c>
      <c r="E56" s="6">
        <v>12</v>
      </c>
      <c r="F56" s="6">
        <v>15450</v>
      </c>
      <c r="G56" s="5">
        <v>12.7</v>
      </c>
      <c r="H56" s="5">
        <v>169.4</v>
      </c>
      <c r="I56" s="5">
        <v>0.1</v>
      </c>
      <c r="K56" s="7">
        <f t="shared" si="12"/>
        <v>38209</v>
      </c>
      <c r="L56" s="8">
        <f t="shared" si="12"/>
        <v>31.3</v>
      </c>
    </row>
    <row r="57" spans="1:12" x14ac:dyDescent="0.25">
      <c r="A57" s="9">
        <v>2002</v>
      </c>
      <c r="B57" s="5">
        <v>9133.7999999999993</v>
      </c>
      <c r="C57" s="5">
        <v>6.7</v>
      </c>
      <c r="D57" s="6">
        <v>16174</v>
      </c>
      <c r="E57" s="5">
        <v>11.9</v>
      </c>
      <c r="F57" s="5">
        <v>16403.8</v>
      </c>
      <c r="G57" s="5">
        <v>12.1</v>
      </c>
      <c r="H57" s="5">
        <v>151.69999999999999</v>
      </c>
      <c r="I57" s="5">
        <v>0.1</v>
      </c>
      <c r="K57" s="7">
        <f t="shared" si="12"/>
        <v>41863.299999999996</v>
      </c>
      <c r="L57" s="8">
        <f t="shared" si="12"/>
        <v>30.800000000000004</v>
      </c>
    </row>
    <row r="58" spans="1:12" x14ac:dyDescent="0.25">
      <c r="A58" s="9">
        <v>2003</v>
      </c>
      <c r="B58" s="5">
        <v>9807.9</v>
      </c>
      <c r="C58" s="5">
        <v>6.7</v>
      </c>
      <c r="D58" s="5">
        <v>17661.900000000001</v>
      </c>
      <c r="E58" s="5">
        <v>12.1</v>
      </c>
      <c r="F58" s="5">
        <v>18133.3</v>
      </c>
      <c r="G58" s="5">
        <v>12.5</v>
      </c>
      <c r="H58" s="5">
        <v>213.7</v>
      </c>
      <c r="I58" s="5">
        <v>0.1</v>
      </c>
      <c r="K58" s="7">
        <f t="shared" si="12"/>
        <v>45816.800000000003</v>
      </c>
      <c r="L58" s="8">
        <f t="shared" si="12"/>
        <v>31.400000000000002</v>
      </c>
    </row>
    <row r="59" spans="1:12" x14ac:dyDescent="0.25">
      <c r="A59" s="9">
        <v>2004</v>
      </c>
      <c r="B59" s="5">
        <v>10986.1</v>
      </c>
      <c r="C59" s="6">
        <v>7</v>
      </c>
      <c r="D59" s="5">
        <v>19694.900000000001</v>
      </c>
      <c r="E59" s="5">
        <v>12.6</v>
      </c>
      <c r="F59" s="5">
        <v>20164.599999999999</v>
      </c>
      <c r="G59" s="5">
        <v>12.9</v>
      </c>
      <c r="H59" s="5">
        <v>200.5</v>
      </c>
      <c r="I59" s="5">
        <v>0.1</v>
      </c>
      <c r="K59" s="7">
        <f t="shared" si="12"/>
        <v>51046.1</v>
      </c>
      <c r="L59" s="8">
        <f t="shared" si="12"/>
        <v>32.6</v>
      </c>
    </row>
    <row r="60" spans="1:12" x14ac:dyDescent="0.25">
      <c r="A60" s="9">
        <v>2005</v>
      </c>
      <c r="B60" s="5">
        <v>12373.3</v>
      </c>
      <c r="C60" s="5">
        <v>7.3</v>
      </c>
      <c r="D60" s="6">
        <v>22335</v>
      </c>
      <c r="E60" s="5">
        <v>13.1</v>
      </c>
      <c r="F60" s="5">
        <v>21785.599999999999</v>
      </c>
      <c r="G60" s="5">
        <v>12.8</v>
      </c>
      <c r="H60" s="5">
        <v>273.7</v>
      </c>
      <c r="I60" s="5">
        <v>0.2</v>
      </c>
      <c r="K60" s="7">
        <f t="shared" si="12"/>
        <v>56767.6</v>
      </c>
      <c r="L60" s="8">
        <f t="shared" si="12"/>
        <v>33.400000000000006</v>
      </c>
    </row>
    <row r="61" spans="1:12" x14ac:dyDescent="0.25">
      <c r="A61" s="9">
        <v>2006</v>
      </c>
      <c r="B61" s="5">
        <v>13745.6</v>
      </c>
      <c r="C61" s="5">
        <v>7.4</v>
      </c>
      <c r="D61" s="5">
        <v>25080.5</v>
      </c>
      <c r="E61" s="5">
        <v>13.6</v>
      </c>
      <c r="F61" s="5">
        <v>25251.200000000001</v>
      </c>
      <c r="G61" s="5">
        <v>13.7</v>
      </c>
      <c r="H61" s="5">
        <v>354.7</v>
      </c>
      <c r="I61" s="5">
        <v>0.2</v>
      </c>
      <c r="K61" s="7">
        <f t="shared" si="12"/>
        <v>64432</v>
      </c>
      <c r="L61" s="8">
        <f t="shared" si="12"/>
        <v>34.900000000000006</v>
      </c>
    </row>
    <row r="62" spans="1:12" x14ac:dyDescent="0.25">
      <c r="A62" s="9">
        <v>2007</v>
      </c>
      <c r="B62" s="5">
        <v>14355.4</v>
      </c>
      <c r="C62" s="5">
        <v>7.3</v>
      </c>
      <c r="D62" s="5">
        <v>25854.400000000001</v>
      </c>
      <c r="E62" s="5">
        <v>13.1</v>
      </c>
      <c r="F62" s="5">
        <v>26087.200000000001</v>
      </c>
      <c r="G62" s="5">
        <v>13.2</v>
      </c>
      <c r="H62" s="5">
        <v>432.2</v>
      </c>
      <c r="I62" s="5">
        <v>0.2</v>
      </c>
      <c r="K62" s="7">
        <f t="shared" si="12"/>
        <v>66729.2</v>
      </c>
      <c r="L62" s="8">
        <f t="shared" si="12"/>
        <v>33.799999999999997</v>
      </c>
    </row>
    <row r="63" spans="1:12" x14ac:dyDescent="0.25">
      <c r="A63" s="9">
        <v>2008</v>
      </c>
      <c r="B63" s="5">
        <v>13084.4</v>
      </c>
      <c r="C63" s="6">
        <v>7</v>
      </c>
      <c r="D63" s="5">
        <v>22557.1</v>
      </c>
      <c r="E63" s="6">
        <v>12</v>
      </c>
      <c r="F63" s="5">
        <v>22964.400000000001</v>
      </c>
      <c r="G63" s="5">
        <v>12.3</v>
      </c>
      <c r="H63" s="5">
        <v>367.6</v>
      </c>
      <c r="I63" s="5">
        <v>0.2</v>
      </c>
      <c r="K63" s="7">
        <f t="shared" si="12"/>
        <v>58973.5</v>
      </c>
      <c r="L63" s="8">
        <f t="shared" si="12"/>
        <v>31.5</v>
      </c>
    </row>
    <row r="64" spans="1:12" x14ac:dyDescent="0.25">
      <c r="A64" s="9">
        <v>2009</v>
      </c>
      <c r="B64" s="5">
        <v>10324.5</v>
      </c>
      <c r="C64" s="5">
        <v>6.1</v>
      </c>
      <c r="D64" s="5">
        <v>18368.5</v>
      </c>
      <c r="E64" s="5">
        <v>10.8</v>
      </c>
      <c r="F64" s="5">
        <v>20095.5</v>
      </c>
      <c r="G64" s="5">
        <v>11.9</v>
      </c>
      <c r="H64" s="5">
        <v>265.89999999999998</v>
      </c>
      <c r="I64" s="5">
        <v>0.2</v>
      </c>
      <c r="K64" s="7">
        <f t="shared" si="12"/>
        <v>49054.400000000001</v>
      </c>
      <c r="L64" s="8">
        <f t="shared" si="12"/>
        <v>28.999999999999996</v>
      </c>
    </row>
    <row r="65" spans="1:12" x14ac:dyDescent="0.25">
      <c r="A65" s="9">
        <v>2010</v>
      </c>
      <c r="B65" s="5">
        <v>10067.200000000001</v>
      </c>
      <c r="C65" s="6">
        <v>6</v>
      </c>
      <c r="D65" s="5">
        <v>18076.400000000001</v>
      </c>
      <c r="E65" s="5">
        <v>10.8</v>
      </c>
      <c r="F65" s="5">
        <v>19568.900000000001</v>
      </c>
      <c r="G65" s="5">
        <v>11.7</v>
      </c>
      <c r="H65" s="5">
        <v>245.1</v>
      </c>
      <c r="I65" s="5">
        <v>0.1</v>
      </c>
      <c r="K65" s="7">
        <f t="shared" si="12"/>
        <v>47957.599999999999</v>
      </c>
      <c r="L65" s="8">
        <f t="shared" si="12"/>
        <v>28.6</v>
      </c>
    </row>
    <row r="66" spans="1:12" x14ac:dyDescent="0.25">
      <c r="A66" s="9">
        <v>2011</v>
      </c>
      <c r="B66" s="5">
        <v>9755.1</v>
      </c>
      <c r="C66" s="5">
        <v>5.6</v>
      </c>
      <c r="D66" s="5">
        <v>17794.099999999999</v>
      </c>
      <c r="E66" s="5">
        <v>10.3</v>
      </c>
      <c r="F66" s="5">
        <v>20836.2</v>
      </c>
      <c r="G66" s="6">
        <v>12</v>
      </c>
      <c r="H66" s="5">
        <v>245.2</v>
      </c>
      <c r="I66" s="5">
        <v>0.1</v>
      </c>
      <c r="K66" s="7">
        <f t="shared" si="12"/>
        <v>48630.599999999991</v>
      </c>
      <c r="L66" s="8">
        <f t="shared" si="12"/>
        <v>28</v>
      </c>
    </row>
    <row r="67" spans="1:12" x14ac:dyDescent="0.25">
      <c r="A67" s="9">
        <v>2012</v>
      </c>
      <c r="B67" s="5">
        <v>10219.299999999999</v>
      </c>
      <c r="C67" s="5">
        <v>5.8</v>
      </c>
      <c r="D67" s="5">
        <v>18362.900000000001</v>
      </c>
      <c r="E67" s="5">
        <v>10.4</v>
      </c>
      <c r="F67" s="5">
        <v>22292.3</v>
      </c>
      <c r="G67" s="5">
        <v>12.6</v>
      </c>
      <c r="H67" s="5">
        <v>284.8</v>
      </c>
      <c r="I67" s="5">
        <v>0.2</v>
      </c>
      <c r="K67" s="7">
        <f t="shared" si="12"/>
        <v>51159.3</v>
      </c>
      <c r="L67" s="8">
        <f t="shared" si="12"/>
        <v>28.999999999999996</v>
      </c>
    </row>
    <row r="68" spans="1:12" x14ac:dyDescent="0.25">
      <c r="A68" s="9">
        <v>2013</v>
      </c>
      <c r="B68" s="5">
        <v>10371.9</v>
      </c>
      <c r="C68" s="5">
        <v>5.7</v>
      </c>
      <c r="D68" s="6">
        <v>19311</v>
      </c>
      <c r="E68" s="5">
        <v>10.5</v>
      </c>
      <c r="F68" s="5">
        <v>22927.7</v>
      </c>
      <c r="G68" s="5">
        <v>12.5</v>
      </c>
      <c r="H68" s="5">
        <v>278.39999999999998</v>
      </c>
      <c r="I68" s="5">
        <v>0.2</v>
      </c>
      <c r="K68" s="7">
        <f>B68+D68+F68+H68</f>
        <v>52889.000000000007</v>
      </c>
      <c r="L68" s="8">
        <f t="shared" si="12"/>
        <v>28.9</v>
      </c>
    </row>
    <row r="69" spans="1:12" x14ac:dyDescent="0.25">
      <c r="A69" s="9">
        <v>2014</v>
      </c>
      <c r="B69" s="5">
        <v>11527.5</v>
      </c>
      <c r="C69" s="5">
        <v>5.7</v>
      </c>
      <c r="D69" s="5">
        <v>21260.3</v>
      </c>
      <c r="E69" s="5">
        <v>10.6</v>
      </c>
      <c r="F69" s="5">
        <v>24888.7</v>
      </c>
      <c r="G69" s="5">
        <v>12.4</v>
      </c>
      <c r="H69" s="5">
        <v>358.5</v>
      </c>
      <c r="I69" s="5">
        <v>0.2</v>
      </c>
      <c r="K69" s="7">
        <f t="shared" si="12"/>
        <v>58035</v>
      </c>
      <c r="L69" s="8">
        <f t="shared" si="12"/>
        <v>28.900000000000002</v>
      </c>
    </row>
    <row r="70" spans="1:12" x14ac:dyDescent="0.25">
      <c r="A70" s="9">
        <v>2015</v>
      </c>
      <c r="B70" s="6">
        <v>11831</v>
      </c>
      <c r="C70" s="5">
        <v>4.3</v>
      </c>
      <c r="D70" s="5">
        <v>22486.799999999999</v>
      </c>
      <c r="E70" s="5">
        <v>8.3000000000000007</v>
      </c>
      <c r="F70" s="5">
        <v>27862.6</v>
      </c>
      <c r="G70" s="5">
        <v>10.199999999999999</v>
      </c>
      <c r="H70" s="5">
        <v>400.8</v>
      </c>
      <c r="I70" s="5">
        <v>0.1</v>
      </c>
      <c r="K70" s="7">
        <f t="shared" si="12"/>
        <v>62581.200000000004</v>
      </c>
      <c r="L70" s="8">
        <f t="shared" si="12"/>
        <v>22.900000000000002</v>
      </c>
    </row>
    <row r="71" spans="1:12" x14ac:dyDescent="0.25">
      <c r="A71" s="9">
        <v>2016</v>
      </c>
      <c r="B71" s="5">
        <v>12602.5</v>
      </c>
      <c r="C71" s="5">
        <v>4.5999999999999996</v>
      </c>
      <c r="D71" s="5">
        <v>23470.7</v>
      </c>
      <c r="E71" s="5">
        <v>8.5</v>
      </c>
      <c r="F71" s="5">
        <v>28932.2</v>
      </c>
      <c r="G71" s="5">
        <v>10.5</v>
      </c>
      <c r="H71" s="5">
        <v>410.7</v>
      </c>
      <c r="I71" s="5">
        <v>0.1</v>
      </c>
      <c r="K71" s="7">
        <f t="shared" si="12"/>
        <v>65416.099999999991</v>
      </c>
      <c r="L71" s="8">
        <f t="shared" si="12"/>
        <v>23.700000000000003</v>
      </c>
    </row>
    <row r="72" spans="1:12" x14ac:dyDescent="0.25">
      <c r="A72" s="9">
        <v>2017</v>
      </c>
      <c r="B72" s="6">
        <v>13060</v>
      </c>
      <c r="C72" s="5">
        <v>4.2</v>
      </c>
      <c r="D72" s="5">
        <v>24649.3</v>
      </c>
      <c r="E72" s="6">
        <v>8</v>
      </c>
      <c r="F72" s="5">
        <v>30622.400000000001</v>
      </c>
      <c r="G72" s="5">
        <v>9.9</v>
      </c>
      <c r="H72" s="5">
        <v>448.4</v>
      </c>
      <c r="I72" s="5">
        <v>0.1</v>
      </c>
      <c r="K72" s="7">
        <f t="shared" si="12"/>
        <v>68780.100000000006</v>
      </c>
      <c r="L72" s="8">
        <f t="shared" si="12"/>
        <v>22.200000000000003</v>
      </c>
    </row>
    <row r="73" spans="1:12" x14ac:dyDescent="0.25">
      <c r="A73" s="9">
        <v>2018</v>
      </c>
      <c r="B73" s="5">
        <v>14148.8</v>
      </c>
      <c r="C73" s="5">
        <v>4.2</v>
      </c>
      <c r="D73" s="5">
        <v>25717.200000000001</v>
      </c>
      <c r="E73" s="5">
        <v>7.7</v>
      </c>
      <c r="F73" s="5">
        <v>34273.800000000003</v>
      </c>
      <c r="G73" s="5">
        <v>10.199999999999999</v>
      </c>
      <c r="H73" s="5">
        <v>518.29999999999995</v>
      </c>
      <c r="I73" s="5">
        <v>0.2</v>
      </c>
      <c r="K73" s="7">
        <f t="shared" si="12"/>
        <v>74658.100000000006</v>
      </c>
      <c r="L73" s="8">
        <f t="shared" si="12"/>
        <v>22.3</v>
      </c>
    </row>
    <row r="74" spans="1:12" x14ac:dyDescent="0.25">
      <c r="A74" s="9">
        <v>2019</v>
      </c>
      <c r="B74" s="6">
        <v>15271</v>
      </c>
      <c r="C74" s="5">
        <v>4.2</v>
      </c>
      <c r="D74" s="5">
        <v>27534.5</v>
      </c>
      <c r="E74" s="5">
        <v>7.6</v>
      </c>
      <c r="F74" s="5">
        <v>36541.1</v>
      </c>
      <c r="G74" s="6">
        <v>10</v>
      </c>
      <c r="H74" s="5">
        <v>530.70000000000005</v>
      </c>
      <c r="I74" s="5">
        <v>0.1</v>
      </c>
      <c r="K74" s="7">
        <f t="shared" si="12"/>
        <v>79877.3</v>
      </c>
      <c r="L74" s="8">
        <f t="shared" si="12"/>
        <v>21.900000000000002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BFF1-9CDE-4317-9525-894510BDD9DE}">
  <dimension ref="A1:L74"/>
  <sheetViews>
    <sheetView workbookViewId="0">
      <selection activeCell="C3" sqref="C3:C19"/>
    </sheetView>
  </sheetViews>
  <sheetFormatPr defaultRowHeight="15" x14ac:dyDescent="0.25"/>
  <sheetData>
    <row r="1" spans="1:11" x14ac:dyDescent="0.25">
      <c r="A1" t="s">
        <v>0</v>
      </c>
      <c r="F1" t="s">
        <v>3</v>
      </c>
      <c r="J1" t="s">
        <v>4</v>
      </c>
    </row>
    <row r="2" spans="1:11" x14ac:dyDescent="0.25">
      <c r="B2" s="1" t="s">
        <v>1</v>
      </c>
      <c r="C2" s="1" t="s">
        <v>2</v>
      </c>
      <c r="F2" s="1" t="s">
        <v>1</v>
      </c>
      <c r="G2" s="1" t="s">
        <v>2</v>
      </c>
      <c r="H2" s="1"/>
      <c r="J2" s="1" t="s">
        <v>1</v>
      </c>
      <c r="K2" s="1" t="s">
        <v>2</v>
      </c>
    </row>
    <row r="3" spans="1:11" x14ac:dyDescent="0.25">
      <c r="A3" s="4">
        <v>1995</v>
      </c>
      <c r="B3" s="6">
        <v>15893</v>
      </c>
      <c r="C3" s="5">
        <v>17.5</v>
      </c>
      <c r="F3" s="6">
        <v>9830</v>
      </c>
      <c r="G3" s="5">
        <v>10.8</v>
      </c>
      <c r="J3">
        <v>25575.599999999999</v>
      </c>
      <c r="K3">
        <v>28.200000000000003</v>
      </c>
    </row>
    <row r="4" spans="1:11" x14ac:dyDescent="0.25">
      <c r="A4" s="4">
        <v>1996</v>
      </c>
      <c r="B4" s="5">
        <v>17082.2</v>
      </c>
      <c r="C4" s="5">
        <v>17.7</v>
      </c>
      <c r="F4" s="5">
        <v>10594.8</v>
      </c>
      <c r="G4" s="6">
        <v>11</v>
      </c>
      <c r="J4">
        <v>28267.399999999998</v>
      </c>
      <c r="K4">
        <v>29.3</v>
      </c>
    </row>
    <row r="5" spans="1:11" x14ac:dyDescent="0.25">
      <c r="A5" s="4">
        <v>1997</v>
      </c>
      <c r="B5" s="5">
        <v>18180.5</v>
      </c>
      <c r="C5" s="5">
        <v>17.600000000000001</v>
      </c>
      <c r="F5" s="5">
        <v>11102.4</v>
      </c>
      <c r="G5" s="5">
        <v>10.7</v>
      </c>
      <c r="J5">
        <v>29872.600000000002</v>
      </c>
      <c r="K5">
        <v>28.900000000000002</v>
      </c>
    </row>
    <row r="6" spans="1:11" x14ac:dyDescent="0.25">
      <c r="A6" s="4">
        <v>1998</v>
      </c>
      <c r="B6" s="5">
        <v>19704.099999999999</v>
      </c>
      <c r="C6" s="5">
        <v>17.8</v>
      </c>
      <c r="F6" s="6">
        <v>12086</v>
      </c>
      <c r="G6" s="5">
        <v>10.9</v>
      </c>
      <c r="J6">
        <v>32491</v>
      </c>
      <c r="K6">
        <v>29.400000000000002</v>
      </c>
    </row>
    <row r="7" spans="1:11" x14ac:dyDescent="0.25">
      <c r="A7" s="4">
        <v>1999</v>
      </c>
      <c r="B7" s="6">
        <v>21537</v>
      </c>
      <c r="C7" s="6">
        <v>18</v>
      </c>
      <c r="F7" s="5">
        <v>13009.6</v>
      </c>
      <c r="G7" s="5">
        <v>10.9</v>
      </c>
      <c r="J7">
        <v>36237.599999999999</v>
      </c>
      <c r="K7">
        <v>30.300000000000004</v>
      </c>
    </row>
    <row r="8" spans="1:11" x14ac:dyDescent="0.25">
      <c r="A8" s="4">
        <v>2000</v>
      </c>
      <c r="B8" s="5">
        <v>24144.400000000001</v>
      </c>
      <c r="C8" s="5">
        <v>18.8</v>
      </c>
      <c r="F8" s="5">
        <v>14470.4</v>
      </c>
      <c r="G8" s="5">
        <v>11.3</v>
      </c>
      <c r="J8">
        <v>39107.599999999999</v>
      </c>
      <c r="K8">
        <v>30.400000000000002</v>
      </c>
    </row>
    <row r="9" spans="1:11" x14ac:dyDescent="0.25">
      <c r="A9" s="4">
        <v>2001</v>
      </c>
      <c r="B9" s="5">
        <v>26053.5</v>
      </c>
      <c r="C9" s="5">
        <v>19.2</v>
      </c>
      <c r="F9" s="5">
        <v>15704.4</v>
      </c>
      <c r="G9" s="5">
        <v>11.6</v>
      </c>
      <c r="J9">
        <v>40474.400000000001</v>
      </c>
      <c r="K9">
        <v>29.800000000000004</v>
      </c>
    </row>
    <row r="10" spans="1:11" x14ac:dyDescent="0.25">
      <c r="A10" s="4">
        <v>2002</v>
      </c>
      <c r="B10" s="5">
        <v>27787.5</v>
      </c>
      <c r="C10" s="5">
        <v>19.5</v>
      </c>
      <c r="F10" s="5">
        <v>17183.400000000001</v>
      </c>
      <c r="G10" s="5">
        <v>12.1</v>
      </c>
      <c r="J10">
        <v>43237.9</v>
      </c>
      <c r="K10">
        <v>30.3</v>
      </c>
    </row>
    <row r="11" spans="1:11" x14ac:dyDescent="0.25">
      <c r="A11" s="4">
        <v>2003</v>
      </c>
      <c r="B11" s="5">
        <v>29280.3</v>
      </c>
      <c r="C11" s="6">
        <v>20</v>
      </c>
      <c r="F11" s="5">
        <v>19340.8</v>
      </c>
      <c r="G11" s="5">
        <v>13.2</v>
      </c>
      <c r="J11">
        <v>42931.7</v>
      </c>
      <c r="K11">
        <v>29.400000000000002</v>
      </c>
    </row>
    <row r="12" spans="1:11" x14ac:dyDescent="0.25">
      <c r="A12" s="4">
        <v>2004</v>
      </c>
      <c r="B12" s="5">
        <v>30999.8</v>
      </c>
      <c r="C12" s="5">
        <v>20.399999999999999</v>
      </c>
      <c r="F12" s="5">
        <v>20820.8</v>
      </c>
      <c r="G12" s="5">
        <v>13.7</v>
      </c>
      <c r="J12">
        <v>45149.8</v>
      </c>
      <c r="K12">
        <v>29.6</v>
      </c>
    </row>
    <row r="13" spans="1:11" x14ac:dyDescent="0.25">
      <c r="A13" s="4">
        <v>2005</v>
      </c>
      <c r="B13" s="6">
        <v>33171</v>
      </c>
      <c r="C13" s="5">
        <v>20.9</v>
      </c>
      <c r="F13" s="5">
        <v>22466.1</v>
      </c>
      <c r="G13" s="5">
        <v>14.2</v>
      </c>
      <c r="J13">
        <v>48977.400000000009</v>
      </c>
      <c r="K13">
        <v>30.799999999999997</v>
      </c>
    </row>
    <row r="14" spans="1:11" x14ac:dyDescent="0.25">
      <c r="A14" s="4">
        <v>2006</v>
      </c>
      <c r="B14" s="5">
        <v>33680.400000000001</v>
      </c>
      <c r="C14" s="5">
        <v>20.3</v>
      </c>
      <c r="F14" s="5">
        <v>23704.9</v>
      </c>
      <c r="G14" s="5">
        <v>14.3</v>
      </c>
      <c r="J14">
        <v>52412.899999999994</v>
      </c>
      <c r="K14">
        <v>31.500000000000004</v>
      </c>
    </row>
    <row r="15" spans="1:11" x14ac:dyDescent="0.25">
      <c r="A15" s="4">
        <v>2007</v>
      </c>
      <c r="B15" s="5">
        <v>34300.5</v>
      </c>
      <c r="C15" s="5">
        <v>19.5</v>
      </c>
      <c r="F15" s="5">
        <v>24987.1</v>
      </c>
      <c r="G15" s="5">
        <v>14.2</v>
      </c>
      <c r="J15">
        <v>55828.000000000007</v>
      </c>
      <c r="K15">
        <v>31.8</v>
      </c>
    </row>
    <row r="16" spans="1:11" x14ac:dyDescent="0.25">
      <c r="A16" s="4">
        <v>2008</v>
      </c>
      <c r="B16" s="5">
        <v>35250.5</v>
      </c>
      <c r="C16" s="5">
        <v>19.7</v>
      </c>
      <c r="F16" s="5">
        <v>26369.599999999999</v>
      </c>
      <c r="G16" s="5">
        <v>14.7</v>
      </c>
      <c r="J16">
        <v>56232</v>
      </c>
      <c r="K16">
        <v>31.400000000000002</v>
      </c>
    </row>
    <row r="17" spans="1:11" x14ac:dyDescent="0.25">
      <c r="A17" s="4">
        <v>2009</v>
      </c>
      <c r="B17" s="5">
        <v>37288.5</v>
      </c>
      <c r="C17" s="5">
        <v>21.3</v>
      </c>
      <c r="F17" s="5">
        <v>29028.1</v>
      </c>
      <c r="G17" s="5">
        <v>16.5</v>
      </c>
      <c r="J17">
        <v>49234.2</v>
      </c>
      <c r="K17">
        <v>28.1</v>
      </c>
    </row>
    <row r="18" spans="1:11" x14ac:dyDescent="0.25">
      <c r="A18" s="4">
        <v>2010</v>
      </c>
      <c r="B18" s="5">
        <v>37011.4</v>
      </c>
      <c r="C18" s="5">
        <v>20.6</v>
      </c>
      <c r="F18" s="5">
        <v>29878.2</v>
      </c>
      <c r="G18" s="5">
        <v>16.600000000000001</v>
      </c>
      <c r="J18">
        <v>52703.200000000004</v>
      </c>
      <c r="K18">
        <v>29.299999999999997</v>
      </c>
    </row>
    <row r="19" spans="1:11" x14ac:dyDescent="0.25">
      <c r="A19" s="4">
        <v>2011</v>
      </c>
      <c r="B19" s="5">
        <v>34713.599999999999</v>
      </c>
      <c r="C19" s="5">
        <v>19.7</v>
      </c>
      <c r="F19" s="5">
        <v>30245.3</v>
      </c>
      <c r="G19" s="5">
        <v>17.2</v>
      </c>
      <c r="J19">
        <v>55441.7</v>
      </c>
      <c r="K19">
        <v>31.5</v>
      </c>
    </row>
    <row r="20" spans="1:11" x14ac:dyDescent="0.25">
      <c r="A20" s="4">
        <v>2012</v>
      </c>
      <c r="B20" s="5">
        <v>30857.1</v>
      </c>
      <c r="C20" s="5">
        <v>18.3</v>
      </c>
      <c r="F20" s="5">
        <v>29981.1</v>
      </c>
      <c r="G20" s="5">
        <v>17.8</v>
      </c>
      <c r="J20">
        <v>52714.400000000001</v>
      </c>
      <c r="K20">
        <v>31.400000000000002</v>
      </c>
    </row>
    <row r="21" spans="1:11" x14ac:dyDescent="0.25">
      <c r="A21" s="4">
        <v>2013</v>
      </c>
      <c r="B21" s="5">
        <v>32094.6</v>
      </c>
      <c r="C21" s="5">
        <v>18.8</v>
      </c>
      <c r="F21" s="5">
        <v>31852.6</v>
      </c>
      <c r="G21" s="5">
        <v>18.7</v>
      </c>
      <c r="J21">
        <v>56463.299999999996</v>
      </c>
      <c r="K21">
        <v>33.099999999999994</v>
      </c>
    </row>
    <row r="22" spans="1:11" x14ac:dyDescent="0.25">
      <c r="A22" s="4">
        <v>2014</v>
      </c>
      <c r="B22" s="6">
        <v>31819</v>
      </c>
      <c r="C22" s="5">
        <v>18.399999999999999</v>
      </c>
      <c r="F22" s="5">
        <v>31176.9</v>
      </c>
      <c r="G22" s="6">
        <v>18</v>
      </c>
      <c r="J22">
        <v>58300.3</v>
      </c>
      <c r="K22">
        <v>33.700000000000003</v>
      </c>
    </row>
    <row r="23" spans="1:11" x14ac:dyDescent="0.25">
      <c r="A23" s="4">
        <v>2015</v>
      </c>
      <c r="B23" s="5">
        <v>32022.3</v>
      </c>
      <c r="C23" s="5">
        <v>17.899999999999999</v>
      </c>
      <c r="F23" s="5">
        <v>31720.6</v>
      </c>
      <c r="G23" s="5">
        <v>17.7</v>
      </c>
      <c r="J23">
        <v>60933.9</v>
      </c>
      <c r="K23">
        <v>33.9</v>
      </c>
    </row>
    <row r="24" spans="1:11" x14ac:dyDescent="0.25">
      <c r="A24" s="4">
        <v>2016</v>
      </c>
      <c r="B24" s="5">
        <v>32784.9</v>
      </c>
      <c r="C24" s="5">
        <v>17.600000000000001</v>
      </c>
      <c r="F24" s="5">
        <v>32154.400000000001</v>
      </c>
      <c r="G24" s="5">
        <v>17.3</v>
      </c>
      <c r="J24">
        <v>62252.200000000004</v>
      </c>
      <c r="K24">
        <v>33.4</v>
      </c>
    </row>
    <row r="25" spans="1:11" x14ac:dyDescent="0.25">
      <c r="A25" s="4">
        <v>2017</v>
      </c>
      <c r="B25" s="6">
        <v>33634</v>
      </c>
      <c r="C25" s="5">
        <v>17.2</v>
      </c>
      <c r="F25" s="5">
        <v>32578.1</v>
      </c>
      <c r="G25" s="5">
        <v>16.7</v>
      </c>
      <c r="J25">
        <v>65539.7</v>
      </c>
      <c r="K25">
        <v>33.4</v>
      </c>
    </row>
    <row r="26" spans="1:11" x14ac:dyDescent="0.25">
      <c r="A26" s="4">
        <v>2018</v>
      </c>
      <c r="B26" s="5">
        <v>34768.9</v>
      </c>
      <c r="C26" s="6">
        <v>17</v>
      </c>
      <c r="F26" s="5">
        <v>33577.599999999999</v>
      </c>
      <c r="G26" s="5">
        <v>16.399999999999999</v>
      </c>
      <c r="J26">
        <v>69505.400000000009</v>
      </c>
      <c r="K26">
        <v>34</v>
      </c>
    </row>
    <row r="27" spans="1:11" x14ac:dyDescent="0.25">
      <c r="A27" s="4">
        <v>2019</v>
      </c>
      <c r="B27" s="6">
        <v>36348</v>
      </c>
      <c r="C27" s="5">
        <v>16.899999999999999</v>
      </c>
      <c r="F27" s="5">
        <v>34799.199999999997</v>
      </c>
      <c r="G27" s="5">
        <v>16.2</v>
      </c>
      <c r="J27">
        <v>72031.799999999988</v>
      </c>
      <c r="K27">
        <v>33.5</v>
      </c>
    </row>
    <row r="28" spans="1:11" x14ac:dyDescent="0.25">
      <c r="A28" s="4"/>
    </row>
    <row r="29" spans="1:11" x14ac:dyDescent="0.25">
      <c r="A29" s="4"/>
    </row>
    <row r="30" spans="1:11" x14ac:dyDescent="0.25">
      <c r="A30" s="4"/>
    </row>
    <row r="31" spans="1:11" x14ac:dyDescent="0.25">
      <c r="A31" s="4"/>
    </row>
    <row r="32" spans="1:11" x14ac:dyDescent="0.25">
      <c r="A32" s="4">
        <v>2008</v>
      </c>
      <c r="B32">
        <f>B16</f>
        <v>35250.5</v>
      </c>
      <c r="C32">
        <f>B32/$B$32</f>
        <v>1</v>
      </c>
      <c r="F32">
        <f>F16</f>
        <v>26369.599999999999</v>
      </c>
      <c r="G32">
        <f>F32/$F$32</f>
        <v>1</v>
      </c>
      <c r="J32">
        <f>J16</f>
        <v>56232</v>
      </c>
      <c r="K32">
        <f>J32/$J$32</f>
        <v>1</v>
      </c>
    </row>
    <row r="33" spans="1:11" x14ac:dyDescent="0.25">
      <c r="A33" s="4">
        <v>2009</v>
      </c>
      <c r="B33">
        <f t="shared" ref="B33:B35" si="0">B17</f>
        <v>37288.5</v>
      </c>
      <c r="C33">
        <f t="shared" ref="C33:C36" si="1">B33/$B$32</f>
        <v>1.0578147827690387</v>
      </c>
      <c r="F33">
        <f t="shared" ref="F33:F35" si="2">F17</f>
        <v>29028.1</v>
      </c>
      <c r="G33">
        <f t="shared" ref="G33:G36" si="3">F33/$F$32</f>
        <v>1.1008168497057218</v>
      </c>
      <c r="J33">
        <f t="shared" ref="J33:J35" si="4">J17</f>
        <v>49234.2</v>
      </c>
      <c r="K33">
        <f t="shared" ref="K33:K36" si="5">J33/$J$32</f>
        <v>0.87555484421681595</v>
      </c>
    </row>
    <row r="34" spans="1:11" x14ac:dyDescent="0.25">
      <c r="A34" s="4">
        <v>2010</v>
      </c>
      <c r="B34">
        <f t="shared" si="0"/>
        <v>37011.4</v>
      </c>
      <c r="C34">
        <f t="shared" si="1"/>
        <v>1.0499539013631012</v>
      </c>
      <c r="F34">
        <f t="shared" si="2"/>
        <v>29878.2</v>
      </c>
      <c r="G34">
        <f t="shared" si="3"/>
        <v>1.1330547296887326</v>
      </c>
      <c r="J34">
        <f t="shared" si="4"/>
        <v>52703.200000000004</v>
      </c>
      <c r="K34">
        <f t="shared" si="5"/>
        <v>0.93724569640062605</v>
      </c>
    </row>
    <row r="35" spans="1:11" x14ac:dyDescent="0.25">
      <c r="A35" s="4">
        <v>2011</v>
      </c>
      <c r="B35">
        <f t="shared" si="0"/>
        <v>34713.599999999999</v>
      </c>
      <c r="C35">
        <f t="shared" si="1"/>
        <v>0.98476901036864717</v>
      </c>
      <c r="F35">
        <f t="shared" si="2"/>
        <v>30245.3</v>
      </c>
      <c r="G35">
        <f t="shared" si="3"/>
        <v>1.1469760633456707</v>
      </c>
      <c r="J35">
        <f t="shared" si="4"/>
        <v>55441.7</v>
      </c>
      <c r="K35">
        <f t="shared" si="5"/>
        <v>0.98594572485417553</v>
      </c>
    </row>
    <row r="36" spans="1:11" x14ac:dyDescent="0.25">
      <c r="A36" s="4" t="s">
        <v>5</v>
      </c>
      <c r="B36">
        <f>B19+(B20-B19)/4</f>
        <v>33749.474999999999</v>
      </c>
      <c r="C36">
        <f t="shared" si="1"/>
        <v>0.95741833449170932</v>
      </c>
      <c r="F36">
        <f>F19+(F20-F19)/4</f>
        <v>30179.25</v>
      </c>
      <c r="G36">
        <f t="shared" si="3"/>
        <v>1.1444712851161944</v>
      </c>
      <c r="J36">
        <f>J19+(J20-J19)/4</f>
        <v>54759.875</v>
      </c>
      <c r="K36">
        <f t="shared" si="5"/>
        <v>0.97382051145255366</v>
      </c>
    </row>
    <row r="39" spans="1:11" x14ac:dyDescent="0.25">
      <c r="A39" s="4">
        <v>2008</v>
      </c>
      <c r="B39">
        <f>C16</f>
        <v>19.7</v>
      </c>
      <c r="C39">
        <f>B39-$B$39</f>
        <v>0</v>
      </c>
      <c r="F39">
        <f>G16</f>
        <v>14.7</v>
      </c>
      <c r="G39">
        <f>F39-$F$39</f>
        <v>0</v>
      </c>
      <c r="J39">
        <f>K16</f>
        <v>31.400000000000002</v>
      </c>
      <c r="K39">
        <f>J39-$J$39</f>
        <v>0</v>
      </c>
    </row>
    <row r="40" spans="1:11" x14ac:dyDescent="0.25">
      <c r="A40" s="4">
        <v>2009</v>
      </c>
      <c r="B40">
        <f t="shared" ref="B40:B42" si="6">C17</f>
        <v>21.3</v>
      </c>
      <c r="C40">
        <f t="shared" ref="C40:C43" si="7">B40-$B$39</f>
        <v>1.6000000000000014</v>
      </c>
      <c r="F40">
        <f t="shared" ref="F40:F42" si="8">G17</f>
        <v>16.5</v>
      </c>
      <c r="G40">
        <f t="shared" ref="G40:G43" si="9">F40-$F$39</f>
        <v>1.8000000000000007</v>
      </c>
      <c r="J40">
        <f t="shared" ref="J40:J42" si="10">K17</f>
        <v>28.1</v>
      </c>
      <c r="K40">
        <f t="shared" ref="K40:K43" si="11">J40-$J$39</f>
        <v>-3.3000000000000007</v>
      </c>
    </row>
    <row r="41" spans="1:11" x14ac:dyDescent="0.25">
      <c r="A41" s="4">
        <v>2010</v>
      </c>
      <c r="B41">
        <f t="shared" si="6"/>
        <v>20.6</v>
      </c>
      <c r="C41">
        <f t="shared" si="7"/>
        <v>0.90000000000000213</v>
      </c>
      <c r="F41">
        <f t="shared" si="8"/>
        <v>16.600000000000001</v>
      </c>
      <c r="G41">
        <f t="shared" si="9"/>
        <v>1.9000000000000021</v>
      </c>
      <c r="J41">
        <f t="shared" si="10"/>
        <v>29.299999999999997</v>
      </c>
      <c r="K41">
        <f t="shared" si="11"/>
        <v>-2.100000000000005</v>
      </c>
    </row>
    <row r="42" spans="1:11" x14ac:dyDescent="0.25">
      <c r="A42" s="4">
        <v>2011</v>
      </c>
      <c r="B42">
        <f t="shared" si="6"/>
        <v>19.7</v>
      </c>
      <c r="C42">
        <f t="shared" si="7"/>
        <v>0</v>
      </c>
      <c r="F42">
        <f t="shared" si="8"/>
        <v>17.2</v>
      </c>
      <c r="G42">
        <f t="shared" si="9"/>
        <v>2.5</v>
      </c>
      <c r="J42">
        <f t="shared" si="10"/>
        <v>31.5</v>
      </c>
      <c r="K42">
        <f t="shared" si="11"/>
        <v>9.9999999999997868E-2</v>
      </c>
    </row>
    <row r="43" spans="1:11" x14ac:dyDescent="0.25">
      <c r="A43" s="4" t="s">
        <v>5</v>
      </c>
      <c r="B43">
        <f>C19+(C20-C19)/4</f>
        <v>19.350000000000001</v>
      </c>
      <c r="C43">
        <f t="shared" si="7"/>
        <v>-0.34999999999999787</v>
      </c>
      <c r="F43">
        <f>G19+(G20-G19)/4</f>
        <v>17.350000000000001</v>
      </c>
      <c r="G43">
        <f t="shared" si="9"/>
        <v>2.6500000000000021</v>
      </c>
      <c r="J43">
        <f>K19+(K20-K19)/4</f>
        <v>31.475000000000001</v>
      </c>
      <c r="K43">
        <f t="shared" si="11"/>
        <v>7.4999999999999289E-2</v>
      </c>
    </row>
    <row r="47" spans="1:11" x14ac:dyDescent="0.25">
      <c r="A47" s="2" t="s">
        <v>11</v>
      </c>
    </row>
    <row r="48" spans="1:11" x14ac:dyDescent="0.25">
      <c r="A48" s="9"/>
      <c r="B48" s="1" t="s">
        <v>6</v>
      </c>
      <c r="C48" s="1"/>
      <c r="D48" s="1" t="s">
        <v>7</v>
      </c>
      <c r="E48" s="1"/>
      <c r="F48" s="1" t="s">
        <v>8</v>
      </c>
      <c r="G48" s="1"/>
      <c r="H48" s="1" t="s">
        <v>9</v>
      </c>
      <c r="I48" s="1"/>
      <c r="J48" s="1"/>
      <c r="K48" s="1" t="s">
        <v>10</v>
      </c>
    </row>
    <row r="49" spans="1:12" x14ac:dyDescent="0.25">
      <c r="A49" s="9"/>
      <c r="B49" s="1" t="s">
        <v>1</v>
      </c>
      <c r="C49" s="1" t="s">
        <v>2</v>
      </c>
      <c r="D49" s="1" t="s">
        <v>1</v>
      </c>
      <c r="E49" s="1" t="s">
        <v>2</v>
      </c>
      <c r="F49" s="1" t="s">
        <v>1</v>
      </c>
      <c r="G49" s="1" t="s">
        <v>2</v>
      </c>
      <c r="H49" s="1" t="s">
        <v>1</v>
      </c>
      <c r="I49" s="1" t="s">
        <v>2</v>
      </c>
      <c r="J49" s="1"/>
      <c r="K49" s="1" t="s">
        <v>1</v>
      </c>
      <c r="L49" s="1" t="s">
        <v>2</v>
      </c>
    </row>
    <row r="50" spans="1:12" x14ac:dyDescent="0.25">
      <c r="A50" s="9">
        <v>1995</v>
      </c>
      <c r="B50" s="5">
        <v>6210.2</v>
      </c>
      <c r="C50" s="5">
        <v>6.8</v>
      </c>
      <c r="D50" s="5">
        <v>11973.4</v>
      </c>
      <c r="E50" s="5">
        <v>13.2</v>
      </c>
      <c r="F50" s="5">
        <v>7333.7</v>
      </c>
      <c r="G50" s="5">
        <v>8.1</v>
      </c>
      <c r="H50" s="5">
        <v>58.3</v>
      </c>
      <c r="I50" s="5">
        <v>0.1</v>
      </c>
      <c r="K50" s="7">
        <f>B50+D50+F50+H50</f>
        <v>25575.599999999999</v>
      </c>
      <c r="L50" s="8">
        <f>C50+E50+G50+I50</f>
        <v>28.200000000000003</v>
      </c>
    </row>
    <row r="51" spans="1:12" x14ac:dyDescent="0.25">
      <c r="A51" s="9">
        <v>1996</v>
      </c>
      <c r="B51" s="5">
        <v>6851.4</v>
      </c>
      <c r="C51" s="5">
        <v>7.1</v>
      </c>
      <c r="D51" s="5">
        <v>12958.4</v>
      </c>
      <c r="E51" s="5">
        <v>13.4</v>
      </c>
      <c r="F51" s="5">
        <v>8396.5</v>
      </c>
      <c r="G51" s="5">
        <v>8.6999999999999993</v>
      </c>
      <c r="H51" s="5">
        <v>61.1</v>
      </c>
      <c r="I51" s="5">
        <v>0.1</v>
      </c>
      <c r="K51" s="7">
        <f t="shared" ref="K51:L74" si="12">B51+D51+F51+H51</f>
        <v>28267.399999999998</v>
      </c>
      <c r="L51" s="8">
        <f t="shared" si="12"/>
        <v>29.3</v>
      </c>
    </row>
    <row r="52" spans="1:12" x14ac:dyDescent="0.25">
      <c r="A52" s="9">
        <v>1997</v>
      </c>
      <c r="B52" s="5">
        <v>7238.2</v>
      </c>
      <c r="C52" s="6">
        <v>7</v>
      </c>
      <c r="D52" s="6">
        <v>13550</v>
      </c>
      <c r="E52" s="5">
        <v>13.1</v>
      </c>
      <c r="F52" s="5">
        <v>9012.5</v>
      </c>
      <c r="G52" s="5">
        <v>8.6999999999999993</v>
      </c>
      <c r="H52" s="5">
        <v>71.900000000000006</v>
      </c>
      <c r="I52" s="5">
        <v>0.1</v>
      </c>
      <c r="K52" s="7">
        <f t="shared" si="12"/>
        <v>29872.600000000002</v>
      </c>
      <c r="L52" s="8">
        <f t="shared" si="12"/>
        <v>28.900000000000002</v>
      </c>
    </row>
    <row r="53" spans="1:12" x14ac:dyDescent="0.25">
      <c r="A53" s="9">
        <v>1998</v>
      </c>
      <c r="B53" s="5">
        <v>7981.5</v>
      </c>
      <c r="C53" s="5">
        <v>7.2</v>
      </c>
      <c r="D53" s="6">
        <v>15062</v>
      </c>
      <c r="E53" s="5">
        <v>13.6</v>
      </c>
      <c r="F53" s="5">
        <v>9363.6</v>
      </c>
      <c r="G53" s="5">
        <v>8.5</v>
      </c>
      <c r="H53" s="5">
        <v>83.9</v>
      </c>
      <c r="I53" s="5">
        <v>0.1</v>
      </c>
      <c r="K53" s="7">
        <f t="shared" si="12"/>
        <v>32491</v>
      </c>
      <c r="L53" s="8">
        <f t="shared" si="12"/>
        <v>29.400000000000002</v>
      </c>
    </row>
    <row r="54" spans="1:12" x14ac:dyDescent="0.25">
      <c r="A54" s="9">
        <v>1999</v>
      </c>
      <c r="B54" s="5">
        <v>8842.7999999999993</v>
      </c>
      <c r="C54" s="5">
        <v>7.4</v>
      </c>
      <c r="D54" s="5">
        <v>16653.7</v>
      </c>
      <c r="E54" s="5">
        <v>13.9</v>
      </c>
      <c r="F54" s="6">
        <v>10647</v>
      </c>
      <c r="G54" s="5">
        <v>8.9</v>
      </c>
      <c r="H54" s="5">
        <v>94.1</v>
      </c>
      <c r="I54" s="5">
        <v>0.1</v>
      </c>
      <c r="K54" s="7">
        <f t="shared" si="12"/>
        <v>36237.599999999999</v>
      </c>
      <c r="L54" s="8">
        <f t="shared" si="12"/>
        <v>30.300000000000004</v>
      </c>
    </row>
    <row r="55" spans="1:12" x14ac:dyDescent="0.25">
      <c r="A55" s="9">
        <v>2000</v>
      </c>
      <c r="B55" s="5">
        <v>9772.4</v>
      </c>
      <c r="C55" s="5">
        <v>7.6</v>
      </c>
      <c r="D55" s="5">
        <v>17233.2</v>
      </c>
      <c r="E55" s="5">
        <v>13.4</v>
      </c>
      <c r="F55" s="6">
        <v>11999</v>
      </c>
      <c r="G55" s="5">
        <v>9.3000000000000007</v>
      </c>
      <c r="H55" s="6">
        <v>103</v>
      </c>
      <c r="I55" s="5">
        <v>0.1</v>
      </c>
      <c r="K55" s="7">
        <f t="shared" si="12"/>
        <v>39107.599999999999</v>
      </c>
      <c r="L55" s="8">
        <f t="shared" si="12"/>
        <v>30.400000000000002</v>
      </c>
    </row>
    <row r="56" spans="1:12" x14ac:dyDescent="0.25">
      <c r="A56" s="9">
        <v>2001</v>
      </c>
      <c r="B56" s="5">
        <v>10060.6</v>
      </c>
      <c r="C56" s="5">
        <v>7.4</v>
      </c>
      <c r="D56" s="5">
        <v>18202.8</v>
      </c>
      <c r="E56" s="5">
        <v>13.4</v>
      </c>
      <c r="F56" s="6">
        <v>12120</v>
      </c>
      <c r="G56" s="5">
        <v>8.9</v>
      </c>
      <c r="H56" s="6">
        <v>91</v>
      </c>
      <c r="I56" s="5">
        <v>0.1</v>
      </c>
      <c r="K56" s="7">
        <f t="shared" si="12"/>
        <v>40474.400000000001</v>
      </c>
      <c r="L56" s="8">
        <f t="shared" si="12"/>
        <v>29.800000000000004</v>
      </c>
    </row>
    <row r="57" spans="1:12" x14ac:dyDescent="0.25">
      <c r="A57" s="9">
        <v>2002</v>
      </c>
      <c r="B57" s="5">
        <v>10714.6</v>
      </c>
      <c r="C57" s="5">
        <v>7.5</v>
      </c>
      <c r="D57" s="5">
        <v>19840.7</v>
      </c>
      <c r="E57" s="5">
        <v>13.9</v>
      </c>
      <c r="F57" s="5">
        <v>12577.5</v>
      </c>
      <c r="G57" s="5">
        <v>8.8000000000000007</v>
      </c>
      <c r="H57" s="5">
        <v>105.1</v>
      </c>
      <c r="I57" s="5">
        <v>0.1</v>
      </c>
      <c r="K57" s="7">
        <f t="shared" si="12"/>
        <v>43237.9</v>
      </c>
      <c r="L57" s="8">
        <f t="shared" si="12"/>
        <v>30.3</v>
      </c>
    </row>
    <row r="58" spans="1:12" x14ac:dyDescent="0.25">
      <c r="A58" s="9">
        <v>2003</v>
      </c>
      <c r="B58" s="5">
        <v>11127.6</v>
      </c>
      <c r="C58" s="5">
        <v>7.6</v>
      </c>
      <c r="D58" s="5">
        <v>20279.900000000001</v>
      </c>
      <c r="E58" s="5">
        <v>13.9</v>
      </c>
      <c r="F58" s="5">
        <v>11419.2</v>
      </c>
      <c r="G58" s="5">
        <v>7.8</v>
      </c>
      <c r="H58" s="6">
        <v>105</v>
      </c>
      <c r="I58" s="5">
        <v>0.1</v>
      </c>
      <c r="K58" s="7">
        <f t="shared" si="12"/>
        <v>42931.7</v>
      </c>
      <c r="L58" s="8">
        <f t="shared" si="12"/>
        <v>29.400000000000002</v>
      </c>
    </row>
    <row r="59" spans="1:12" x14ac:dyDescent="0.25">
      <c r="A59" s="9">
        <v>2004</v>
      </c>
      <c r="B59" s="5">
        <v>11636.1</v>
      </c>
      <c r="C59" s="5">
        <v>7.6</v>
      </c>
      <c r="D59" s="5">
        <v>21086.799999999999</v>
      </c>
      <c r="E59" s="5">
        <v>13.9</v>
      </c>
      <c r="F59" s="6">
        <v>12400</v>
      </c>
      <c r="G59" s="5">
        <v>8.1</v>
      </c>
      <c r="H59" s="5">
        <v>26.9</v>
      </c>
      <c r="I59" s="6">
        <v>0</v>
      </c>
      <c r="K59" s="7">
        <f t="shared" si="12"/>
        <v>45149.8</v>
      </c>
      <c r="L59" s="8">
        <f t="shared" si="12"/>
        <v>29.6</v>
      </c>
    </row>
    <row r="60" spans="1:12" x14ac:dyDescent="0.25">
      <c r="A60" s="9">
        <v>2005</v>
      </c>
      <c r="B60" s="5">
        <v>13062.4</v>
      </c>
      <c r="C60" s="5">
        <v>8.1999999999999993</v>
      </c>
      <c r="D60" s="5">
        <v>23126.9</v>
      </c>
      <c r="E60" s="5">
        <v>14.6</v>
      </c>
      <c r="F60" s="5">
        <v>12719.3</v>
      </c>
      <c r="G60" s="6">
        <v>8</v>
      </c>
      <c r="H60" s="5">
        <v>68.8</v>
      </c>
      <c r="I60" s="6">
        <v>0</v>
      </c>
      <c r="K60" s="7">
        <f t="shared" si="12"/>
        <v>48977.400000000009</v>
      </c>
      <c r="L60" s="8">
        <f t="shared" si="12"/>
        <v>30.799999999999997</v>
      </c>
    </row>
    <row r="61" spans="1:12" x14ac:dyDescent="0.25">
      <c r="A61" s="9">
        <v>2006</v>
      </c>
      <c r="B61" s="5">
        <v>13818.4</v>
      </c>
      <c r="C61" s="5">
        <v>8.3000000000000007</v>
      </c>
      <c r="D61" s="5">
        <v>24704.799999999999</v>
      </c>
      <c r="E61" s="5">
        <v>14.9</v>
      </c>
      <c r="F61" s="5">
        <v>13866.7</v>
      </c>
      <c r="G61" s="5">
        <v>8.3000000000000007</v>
      </c>
      <c r="H61" s="6">
        <v>23</v>
      </c>
      <c r="I61" s="6">
        <v>0</v>
      </c>
      <c r="K61" s="7">
        <f t="shared" si="12"/>
        <v>52412.899999999994</v>
      </c>
      <c r="L61" s="8">
        <f t="shared" si="12"/>
        <v>31.500000000000004</v>
      </c>
    </row>
    <row r="62" spans="1:12" x14ac:dyDescent="0.25">
      <c r="A62" s="9">
        <v>2007</v>
      </c>
      <c r="B62" s="5">
        <v>14401.2</v>
      </c>
      <c r="C62" s="5">
        <v>8.1999999999999993</v>
      </c>
      <c r="D62" s="5">
        <v>25354.400000000001</v>
      </c>
      <c r="E62" s="5">
        <v>14.4</v>
      </c>
      <c r="F62" s="5">
        <v>16062.8</v>
      </c>
      <c r="G62" s="5">
        <v>9.1999999999999993</v>
      </c>
      <c r="H62" s="5">
        <v>9.6</v>
      </c>
      <c r="I62" s="6">
        <v>0</v>
      </c>
      <c r="K62" s="7">
        <f t="shared" si="12"/>
        <v>55828.000000000007</v>
      </c>
      <c r="L62" s="8">
        <f t="shared" si="12"/>
        <v>31.8</v>
      </c>
    </row>
    <row r="63" spans="1:12" x14ac:dyDescent="0.25">
      <c r="A63" s="9">
        <v>2008</v>
      </c>
      <c r="B63" s="5">
        <v>14511.6</v>
      </c>
      <c r="C63" s="5">
        <v>8.1</v>
      </c>
      <c r="D63" s="5">
        <v>25078.799999999999</v>
      </c>
      <c r="E63" s="6">
        <v>14</v>
      </c>
      <c r="F63" s="5">
        <v>16633.400000000001</v>
      </c>
      <c r="G63" s="5">
        <v>9.3000000000000007</v>
      </c>
      <c r="H63" s="5">
        <v>8.1999999999999993</v>
      </c>
      <c r="I63" s="6">
        <v>0</v>
      </c>
      <c r="K63" s="7">
        <f t="shared" si="12"/>
        <v>56232</v>
      </c>
      <c r="L63" s="8">
        <f t="shared" si="12"/>
        <v>31.400000000000002</v>
      </c>
    </row>
    <row r="64" spans="1:12" x14ac:dyDescent="0.25">
      <c r="A64" s="9">
        <v>2009</v>
      </c>
      <c r="B64" s="5">
        <v>12071.1</v>
      </c>
      <c r="C64" s="5">
        <v>6.9</v>
      </c>
      <c r="D64" s="5">
        <v>22019.599999999999</v>
      </c>
      <c r="E64" s="5">
        <v>12.6</v>
      </c>
      <c r="F64" s="5">
        <v>15143.2</v>
      </c>
      <c r="G64" s="5">
        <v>8.6</v>
      </c>
      <c r="H64" s="5">
        <v>0.3</v>
      </c>
      <c r="I64" s="6">
        <v>0</v>
      </c>
      <c r="K64" s="7">
        <f t="shared" si="12"/>
        <v>49234.2</v>
      </c>
      <c r="L64" s="8">
        <f t="shared" si="12"/>
        <v>28.1</v>
      </c>
    </row>
    <row r="65" spans="1:12" x14ac:dyDescent="0.25">
      <c r="A65" s="9">
        <v>2010</v>
      </c>
      <c r="B65" s="6">
        <v>13684</v>
      </c>
      <c r="C65" s="5">
        <v>7.6</v>
      </c>
      <c r="D65" s="5">
        <v>23836.3</v>
      </c>
      <c r="E65" s="5">
        <v>13.3</v>
      </c>
      <c r="F65" s="6">
        <v>15098</v>
      </c>
      <c r="G65" s="5">
        <v>8.4</v>
      </c>
      <c r="H65" s="5">
        <v>84.9</v>
      </c>
      <c r="I65" s="6">
        <v>0</v>
      </c>
      <c r="K65" s="7">
        <f t="shared" si="12"/>
        <v>52703.200000000004</v>
      </c>
      <c r="L65" s="8">
        <f t="shared" si="12"/>
        <v>29.299999999999997</v>
      </c>
    </row>
    <row r="66" spans="1:12" x14ac:dyDescent="0.25">
      <c r="A66" s="9">
        <v>2011</v>
      </c>
      <c r="B66" s="5">
        <v>14406.8</v>
      </c>
      <c r="C66" s="5">
        <v>8.1999999999999993</v>
      </c>
      <c r="D66" s="5">
        <v>24425.4</v>
      </c>
      <c r="E66" s="5">
        <v>13.9</v>
      </c>
      <c r="F66" s="5">
        <v>16609.5</v>
      </c>
      <c r="G66" s="5">
        <v>9.4</v>
      </c>
      <c r="H66" s="6">
        <v>0</v>
      </c>
      <c r="I66" s="6">
        <v>0</v>
      </c>
      <c r="K66" s="7">
        <f t="shared" si="12"/>
        <v>55441.7</v>
      </c>
      <c r="L66" s="8">
        <f t="shared" si="12"/>
        <v>31.5</v>
      </c>
    </row>
    <row r="67" spans="1:12" x14ac:dyDescent="0.25">
      <c r="A67" s="9">
        <v>2012</v>
      </c>
      <c r="B67" s="5">
        <v>14115.4</v>
      </c>
      <c r="C67" s="5">
        <v>8.4</v>
      </c>
      <c r="D67" s="5">
        <v>23345.1</v>
      </c>
      <c r="E67" s="5">
        <v>13.9</v>
      </c>
      <c r="F67" s="5">
        <v>14995.4</v>
      </c>
      <c r="G67" s="5">
        <v>8.9</v>
      </c>
      <c r="H67" s="5">
        <v>258.5</v>
      </c>
      <c r="I67" s="5">
        <v>0.2</v>
      </c>
      <c r="K67" s="7">
        <f t="shared" si="12"/>
        <v>52714.400000000001</v>
      </c>
      <c r="L67" s="8">
        <f t="shared" si="12"/>
        <v>31.400000000000002</v>
      </c>
    </row>
    <row r="68" spans="1:12" x14ac:dyDescent="0.25">
      <c r="A68" s="9">
        <v>2013</v>
      </c>
      <c r="B68" s="6">
        <v>13805</v>
      </c>
      <c r="C68" s="5">
        <v>8.1</v>
      </c>
      <c r="D68" s="5">
        <v>23402.7</v>
      </c>
      <c r="E68" s="5">
        <v>13.7</v>
      </c>
      <c r="F68" s="5">
        <v>19253.900000000001</v>
      </c>
      <c r="G68" s="5">
        <v>11.3</v>
      </c>
      <c r="H68" s="5">
        <v>1.7</v>
      </c>
      <c r="I68" s="6">
        <v>0</v>
      </c>
      <c r="K68" s="7">
        <f>B68+D68+F68+H68</f>
        <v>56463.299999999996</v>
      </c>
      <c r="L68" s="8">
        <f t="shared" si="12"/>
        <v>33.099999999999994</v>
      </c>
    </row>
    <row r="69" spans="1:12" x14ac:dyDescent="0.25">
      <c r="A69" s="9">
        <v>2014</v>
      </c>
      <c r="B69" s="5">
        <v>14782.4</v>
      </c>
      <c r="C69" s="5">
        <v>8.5</v>
      </c>
      <c r="D69" s="5">
        <v>24722.2</v>
      </c>
      <c r="E69" s="5">
        <v>14.3</v>
      </c>
      <c r="F69" s="5">
        <v>18795.7</v>
      </c>
      <c r="G69" s="5">
        <v>10.9</v>
      </c>
      <c r="H69" s="6">
        <v>0</v>
      </c>
      <c r="I69" s="6">
        <v>0</v>
      </c>
      <c r="K69" s="7">
        <f t="shared" si="12"/>
        <v>58300.3</v>
      </c>
      <c r="L69" s="8">
        <f t="shared" si="12"/>
        <v>33.700000000000003</v>
      </c>
    </row>
    <row r="70" spans="1:12" x14ac:dyDescent="0.25">
      <c r="A70" s="9">
        <v>2015</v>
      </c>
      <c r="B70" s="6">
        <v>15452</v>
      </c>
      <c r="C70" s="5">
        <v>8.6</v>
      </c>
      <c r="D70" s="5">
        <v>26207.4</v>
      </c>
      <c r="E70" s="5">
        <v>14.6</v>
      </c>
      <c r="F70" s="5">
        <v>19274.5</v>
      </c>
      <c r="G70" s="5">
        <v>10.7</v>
      </c>
      <c r="H70" s="6">
        <v>0</v>
      </c>
      <c r="I70" s="6">
        <v>0</v>
      </c>
      <c r="K70" s="7">
        <f t="shared" si="12"/>
        <v>60933.9</v>
      </c>
      <c r="L70" s="8">
        <f t="shared" si="12"/>
        <v>33.9</v>
      </c>
    </row>
    <row r="71" spans="1:12" x14ac:dyDescent="0.25">
      <c r="A71" s="9">
        <v>2016</v>
      </c>
      <c r="B71" s="5">
        <v>15874.2</v>
      </c>
      <c r="C71" s="5">
        <v>8.5</v>
      </c>
      <c r="D71" s="5">
        <v>27563.8</v>
      </c>
      <c r="E71" s="5">
        <v>14.8</v>
      </c>
      <c r="F71" s="5">
        <v>18813.900000000001</v>
      </c>
      <c r="G71" s="5">
        <v>10.1</v>
      </c>
      <c r="H71" s="5">
        <v>0.3</v>
      </c>
      <c r="I71" s="6">
        <v>0</v>
      </c>
      <c r="K71" s="7">
        <f t="shared" si="12"/>
        <v>62252.200000000004</v>
      </c>
      <c r="L71" s="8">
        <f t="shared" si="12"/>
        <v>33.4</v>
      </c>
    </row>
    <row r="72" spans="1:12" x14ac:dyDescent="0.25">
      <c r="A72" s="9">
        <v>2017</v>
      </c>
      <c r="B72" s="5">
        <v>16908.8</v>
      </c>
      <c r="C72" s="5">
        <v>8.6</v>
      </c>
      <c r="D72" s="5">
        <v>29186.1</v>
      </c>
      <c r="E72" s="5">
        <v>14.9</v>
      </c>
      <c r="F72" s="5">
        <v>19444.8</v>
      </c>
      <c r="G72" s="5">
        <v>9.9</v>
      </c>
      <c r="H72" s="6">
        <v>0</v>
      </c>
      <c r="I72" s="6">
        <v>0</v>
      </c>
      <c r="K72" s="7">
        <f t="shared" si="12"/>
        <v>65539.7</v>
      </c>
      <c r="L72" s="8">
        <f t="shared" si="12"/>
        <v>33.4</v>
      </c>
    </row>
    <row r="73" spans="1:12" x14ac:dyDescent="0.25">
      <c r="A73" s="9">
        <v>2018</v>
      </c>
      <c r="B73" s="5">
        <v>17955.400000000001</v>
      </c>
      <c r="C73" s="5">
        <v>8.8000000000000007</v>
      </c>
      <c r="D73" s="5">
        <v>30871.200000000001</v>
      </c>
      <c r="E73" s="5">
        <v>15.1</v>
      </c>
      <c r="F73" s="5">
        <v>20678.599999999999</v>
      </c>
      <c r="G73" s="5">
        <v>10.1</v>
      </c>
      <c r="H73" s="5">
        <v>0.2</v>
      </c>
      <c r="I73" s="6">
        <v>0</v>
      </c>
      <c r="K73" s="7">
        <f t="shared" si="12"/>
        <v>69505.400000000009</v>
      </c>
      <c r="L73" s="8">
        <f t="shared" si="12"/>
        <v>34</v>
      </c>
    </row>
    <row r="74" spans="1:12" x14ac:dyDescent="0.25">
      <c r="A74" s="9">
        <v>2019</v>
      </c>
      <c r="B74" s="5">
        <v>18926.099999999999</v>
      </c>
      <c r="C74" s="5">
        <v>8.8000000000000007</v>
      </c>
      <c r="D74" s="5">
        <v>32240.799999999999</v>
      </c>
      <c r="E74" s="6">
        <v>15</v>
      </c>
      <c r="F74" s="5">
        <v>20864.900000000001</v>
      </c>
      <c r="G74" s="5">
        <v>9.6999999999999993</v>
      </c>
      <c r="H74" s="6">
        <v>0</v>
      </c>
      <c r="I74" s="6">
        <v>0</v>
      </c>
      <c r="K74" s="7">
        <f t="shared" si="12"/>
        <v>72031.799999999988</v>
      </c>
      <c r="L74" s="8">
        <f t="shared" si="12"/>
        <v>33.5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9290-3741-4E42-BD3B-C55D247C1BE6}">
  <dimension ref="A1:L74"/>
  <sheetViews>
    <sheetView workbookViewId="0">
      <selection activeCell="I40" sqref="I40"/>
    </sheetView>
  </sheetViews>
  <sheetFormatPr defaultRowHeight="15" x14ac:dyDescent="0.25"/>
  <sheetData>
    <row r="1" spans="1:11" x14ac:dyDescent="0.25">
      <c r="A1" t="s">
        <v>0</v>
      </c>
      <c r="F1" t="s">
        <v>3</v>
      </c>
      <c r="J1" t="s">
        <v>4</v>
      </c>
    </row>
    <row r="2" spans="1:11" x14ac:dyDescent="0.25">
      <c r="B2" s="1" t="s">
        <v>1</v>
      </c>
      <c r="C2" s="1" t="s">
        <v>2</v>
      </c>
      <c r="F2" s="1" t="s">
        <v>1</v>
      </c>
      <c r="G2" s="1" t="s">
        <v>2</v>
      </c>
      <c r="H2" s="1"/>
      <c r="J2" s="1" t="s">
        <v>1</v>
      </c>
      <c r="K2" s="1" t="s">
        <v>2</v>
      </c>
    </row>
    <row r="3" spans="1:11" x14ac:dyDescent="0.25">
      <c r="A3" s="4">
        <v>1995</v>
      </c>
      <c r="B3" s="5">
        <v>82570.3</v>
      </c>
      <c r="C3" s="5">
        <v>17.600000000000001</v>
      </c>
      <c r="F3" s="5">
        <v>61677.1</v>
      </c>
      <c r="G3" s="5">
        <v>13.1</v>
      </c>
      <c r="J3">
        <v>116427.4</v>
      </c>
      <c r="K3">
        <v>24.8</v>
      </c>
    </row>
    <row r="4" spans="1:11" x14ac:dyDescent="0.25">
      <c r="A4" s="4">
        <v>1996</v>
      </c>
      <c r="B4" s="5">
        <v>88252.7</v>
      </c>
      <c r="C4" s="5">
        <v>17.399999999999999</v>
      </c>
      <c r="F4" s="5">
        <v>65759.5</v>
      </c>
      <c r="G4" s="6">
        <v>13</v>
      </c>
      <c r="J4">
        <v>126274.1</v>
      </c>
      <c r="K4">
        <v>24.900000000000002</v>
      </c>
    </row>
    <row r="5" spans="1:11" x14ac:dyDescent="0.25">
      <c r="A5" s="4">
        <v>1997</v>
      </c>
      <c r="B5" s="5">
        <v>88226.8</v>
      </c>
      <c r="C5" s="5">
        <v>16.899999999999999</v>
      </c>
      <c r="F5" s="5">
        <v>65717.2</v>
      </c>
      <c r="G5" s="5">
        <v>12.6</v>
      </c>
      <c r="J5">
        <v>134656.1</v>
      </c>
      <c r="K5">
        <v>25.9</v>
      </c>
    </row>
    <row r="6" spans="1:11" x14ac:dyDescent="0.25">
      <c r="A6" s="4">
        <v>1998</v>
      </c>
      <c r="B6" s="5">
        <v>92818.8</v>
      </c>
      <c r="C6" s="5">
        <v>16.8</v>
      </c>
      <c r="F6" s="5">
        <v>67049.399999999994</v>
      </c>
      <c r="G6" s="5">
        <v>12.1</v>
      </c>
      <c r="J6">
        <v>148725.6</v>
      </c>
      <c r="K6">
        <v>27</v>
      </c>
    </row>
    <row r="7" spans="1:11" x14ac:dyDescent="0.25">
      <c r="A7" s="4">
        <v>1999</v>
      </c>
      <c r="B7" s="6">
        <v>99557</v>
      </c>
      <c r="C7" s="5">
        <v>16.7</v>
      </c>
      <c r="F7" s="6">
        <v>70485</v>
      </c>
      <c r="G7" s="5">
        <v>11.8</v>
      </c>
      <c r="J7">
        <v>162952</v>
      </c>
      <c r="K7">
        <v>27.4</v>
      </c>
    </row>
    <row r="8" spans="1:11" x14ac:dyDescent="0.25">
      <c r="A8" s="4">
        <v>2000</v>
      </c>
      <c r="B8" s="6">
        <v>107716</v>
      </c>
      <c r="C8" s="5">
        <v>16.600000000000001</v>
      </c>
      <c r="F8" s="6">
        <v>75308</v>
      </c>
      <c r="G8" s="5">
        <v>11.6</v>
      </c>
      <c r="J8">
        <v>176093</v>
      </c>
      <c r="K8">
        <v>27.2</v>
      </c>
    </row>
    <row r="9" spans="1:11" x14ac:dyDescent="0.25">
      <c r="A9" s="4">
        <v>2001</v>
      </c>
      <c r="B9" s="6">
        <v>115482</v>
      </c>
      <c r="C9" s="5">
        <v>16.5</v>
      </c>
      <c r="F9" s="6">
        <v>79919</v>
      </c>
      <c r="G9" s="5">
        <v>11.4</v>
      </c>
      <c r="J9">
        <v>186866</v>
      </c>
      <c r="K9">
        <v>26.6</v>
      </c>
    </row>
    <row r="10" spans="1:11" x14ac:dyDescent="0.25">
      <c r="A10" s="4">
        <v>2002</v>
      </c>
      <c r="B10" s="6">
        <v>124088</v>
      </c>
      <c r="C10" s="5">
        <v>16.600000000000001</v>
      </c>
      <c r="F10" s="6">
        <v>86165</v>
      </c>
      <c r="G10" s="5">
        <v>11.5</v>
      </c>
      <c r="J10">
        <v>202197</v>
      </c>
      <c r="K10">
        <v>27</v>
      </c>
    </row>
    <row r="11" spans="1:11" x14ac:dyDescent="0.25">
      <c r="A11" s="4">
        <v>2003</v>
      </c>
      <c r="B11" s="6">
        <v>134090</v>
      </c>
      <c r="C11" s="5">
        <v>16.7</v>
      </c>
      <c r="F11" s="6">
        <v>91998</v>
      </c>
      <c r="G11" s="5">
        <v>11.5</v>
      </c>
      <c r="J11">
        <v>216097</v>
      </c>
      <c r="K11">
        <v>26.9</v>
      </c>
    </row>
    <row r="12" spans="1:11" x14ac:dyDescent="0.25">
      <c r="A12" s="4">
        <v>2004</v>
      </c>
      <c r="B12" s="6">
        <v>146983</v>
      </c>
      <c r="C12" s="5">
        <v>17.100000000000001</v>
      </c>
      <c r="F12" s="6">
        <v>98981</v>
      </c>
      <c r="G12" s="5">
        <v>11.5</v>
      </c>
      <c r="J12">
        <v>241422</v>
      </c>
      <c r="K12">
        <v>28.099999999999998</v>
      </c>
    </row>
    <row r="13" spans="1:11" x14ac:dyDescent="0.25">
      <c r="A13" s="4">
        <v>2005</v>
      </c>
      <c r="B13" s="6">
        <v>160046</v>
      </c>
      <c r="C13" s="5">
        <v>17.2</v>
      </c>
      <c r="F13" s="6">
        <v>105850</v>
      </c>
      <c r="G13" s="5">
        <v>11.4</v>
      </c>
      <c r="J13">
        <v>274171</v>
      </c>
      <c r="K13">
        <v>29.6</v>
      </c>
    </row>
    <row r="14" spans="1:11" x14ac:dyDescent="0.25">
      <c r="A14" s="4">
        <v>2006</v>
      </c>
      <c r="B14" s="6">
        <v>173555</v>
      </c>
      <c r="C14" s="5">
        <v>17.3</v>
      </c>
      <c r="F14" s="6">
        <v>113225</v>
      </c>
      <c r="G14" s="5">
        <v>11.3</v>
      </c>
      <c r="J14">
        <v>304129</v>
      </c>
      <c r="K14">
        <v>30.299999999999997</v>
      </c>
    </row>
    <row r="15" spans="1:11" x14ac:dyDescent="0.25">
      <c r="A15" s="4">
        <v>2007</v>
      </c>
      <c r="B15" s="6">
        <v>189709</v>
      </c>
      <c r="C15" s="5">
        <v>17.600000000000001</v>
      </c>
      <c r="F15" s="6">
        <v>123081</v>
      </c>
      <c r="G15" s="5">
        <v>11.4</v>
      </c>
      <c r="J15">
        <v>325930</v>
      </c>
      <c r="K15">
        <v>30.2</v>
      </c>
    </row>
    <row r="16" spans="1:11" x14ac:dyDescent="0.25">
      <c r="A16" s="4">
        <v>2008</v>
      </c>
      <c r="B16" s="6">
        <v>208274</v>
      </c>
      <c r="C16" s="5">
        <v>18.7</v>
      </c>
      <c r="F16" s="6">
        <v>136282</v>
      </c>
      <c r="G16" s="5">
        <v>12.3</v>
      </c>
      <c r="J16">
        <v>275463</v>
      </c>
      <c r="K16">
        <v>24.7</v>
      </c>
    </row>
    <row r="17" spans="1:11" x14ac:dyDescent="0.25">
      <c r="A17" s="4">
        <v>2009</v>
      </c>
      <c r="B17" s="6">
        <v>220225</v>
      </c>
      <c r="C17" s="5">
        <v>20.5</v>
      </c>
      <c r="F17" s="6">
        <v>154374</v>
      </c>
      <c r="G17" s="5">
        <v>14.4</v>
      </c>
      <c r="J17">
        <v>224826</v>
      </c>
      <c r="K17">
        <v>20.9</v>
      </c>
    </row>
    <row r="18" spans="1:11" x14ac:dyDescent="0.25">
      <c r="A18" s="4">
        <v>2010</v>
      </c>
      <c r="B18" s="6">
        <v>220650</v>
      </c>
      <c r="C18" s="5">
        <v>20.5</v>
      </c>
      <c r="F18" s="6">
        <v>161869</v>
      </c>
      <c r="G18" s="6">
        <v>15</v>
      </c>
      <c r="J18">
        <v>262767</v>
      </c>
      <c r="K18">
        <v>24.299999999999997</v>
      </c>
    </row>
    <row r="19" spans="1:11" x14ac:dyDescent="0.25">
      <c r="A19" s="4">
        <v>2011</v>
      </c>
      <c r="B19" s="6">
        <v>218986</v>
      </c>
      <c r="C19" s="5">
        <v>20.5</v>
      </c>
      <c r="F19" s="6">
        <v>162788</v>
      </c>
      <c r="G19" s="5">
        <v>15.2</v>
      </c>
      <c r="J19">
        <v>258807</v>
      </c>
      <c r="K19">
        <v>24.299999999999997</v>
      </c>
    </row>
    <row r="20" spans="1:11" x14ac:dyDescent="0.25">
      <c r="A20" s="4">
        <v>2012</v>
      </c>
      <c r="B20" s="6">
        <v>204987</v>
      </c>
      <c r="C20" s="5">
        <v>19.8</v>
      </c>
      <c r="F20" s="6">
        <v>167891</v>
      </c>
      <c r="G20" s="5">
        <v>16.2</v>
      </c>
      <c r="J20">
        <v>267199</v>
      </c>
      <c r="K20">
        <v>25.799999999999997</v>
      </c>
    </row>
    <row r="21" spans="1:11" x14ac:dyDescent="0.25">
      <c r="A21" s="4">
        <v>2013</v>
      </c>
      <c r="B21" s="6">
        <v>202531</v>
      </c>
      <c r="C21" s="5">
        <v>19.7</v>
      </c>
      <c r="F21" s="6">
        <v>170407</v>
      </c>
      <c r="G21" s="5">
        <v>16.600000000000001</v>
      </c>
      <c r="J21">
        <v>280362</v>
      </c>
      <c r="K21">
        <v>27.4</v>
      </c>
    </row>
    <row r="22" spans="1:11" x14ac:dyDescent="0.25">
      <c r="A22" s="4">
        <v>2014</v>
      </c>
      <c r="B22" s="6">
        <v>202404</v>
      </c>
      <c r="C22" s="5">
        <v>19.5</v>
      </c>
      <c r="F22" s="6">
        <v>170709</v>
      </c>
      <c r="G22" s="5">
        <v>16.399999999999999</v>
      </c>
      <c r="J22">
        <v>292498</v>
      </c>
      <c r="K22">
        <v>28.1</v>
      </c>
    </row>
    <row r="23" spans="1:11" x14ac:dyDescent="0.25">
      <c r="A23" s="4">
        <v>2015</v>
      </c>
      <c r="B23" s="6">
        <v>209317</v>
      </c>
      <c r="C23" s="5">
        <v>19.3</v>
      </c>
      <c r="F23" s="6">
        <v>170249</v>
      </c>
      <c r="G23" s="5">
        <v>15.7</v>
      </c>
      <c r="J23">
        <v>309094</v>
      </c>
      <c r="K23">
        <v>28.5</v>
      </c>
    </row>
    <row r="24" spans="1:11" x14ac:dyDescent="0.25">
      <c r="A24" s="4">
        <v>2016</v>
      </c>
      <c r="B24" s="6">
        <v>211850</v>
      </c>
      <c r="C24" s="5">
        <v>18.899999999999999</v>
      </c>
      <c r="F24" s="6">
        <v>173709</v>
      </c>
      <c r="G24" s="5">
        <v>15.5</v>
      </c>
      <c r="J24">
        <v>316996</v>
      </c>
      <c r="K24">
        <v>28.3</v>
      </c>
    </row>
    <row r="25" spans="1:11" x14ac:dyDescent="0.25">
      <c r="A25" s="4">
        <v>2017</v>
      </c>
      <c r="B25" s="6">
        <v>215798</v>
      </c>
      <c r="C25" s="5">
        <v>18.399999999999999</v>
      </c>
      <c r="F25" s="6">
        <v>177346</v>
      </c>
      <c r="G25" s="5">
        <v>15.2</v>
      </c>
      <c r="J25">
        <v>333320</v>
      </c>
      <c r="K25">
        <v>28.5</v>
      </c>
    </row>
    <row r="26" spans="1:11" x14ac:dyDescent="0.25">
      <c r="A26" s="4">
        <v>2018</v>
      </c>
      <c r="B26" s="6">
        <v>223673</v>
      </c>
      <c r="C26" s="5">
        <v>18.5</v>
      </c>
      <c r="F26" s="6">
        <v>185279</v>
      </c>
      <c r="G26" s="5">
        <v>15.3</v>
      </c>
      <c r="J26">
        <v>353302</v>
      </c>
      <c r="K26">
        <v>29.1</v>
      </c>
    </row>
    <row r="27" spans="1:11" x14ac:dyDescent="0.25">
      <c r="A27" s="4">
        <v>2019</v>
      </c>
      <c r="B27" s="6">
        <v>234127</v>
      </c>
      <c r="C27" s="5">
        <v>18.7</v>
      </c>
      <c r="F27" s="6">
        <v>196887</v>
      </c>
      <c r="G27" s="5">
        <v>15.7</v>
      </c>
      <c r="J27">
        <v>358574</v>
      </c>
      <c r="K27">
        <v>28.599999999999998</v>
      </c>
    </row>
    <row r="28" spans="1:11" x14ac:dyDescent="0.25">
      <c r="A28" s="4"/>
    </row>
    <row r="29" spans="1:11" x14ac:dyDescent="0.25">
      <c r="A29" s="4"/>
    </row>
    <row r="30" spans="1:11" x14ac:dyDescent="0.25">
      <c r="A30" s="4"/>
    </row>
    <row r="31" spans="1:11" x14ac:dyDescent="0.25">
      <c r="A31" s="4"/>
    </row>
    <row r="32" spans="1:11" x14ac:dyDescent="0.25">
      <c r="A32" s="4">
        <v>2008</v>
      </c>
      <c r="B32">
        <f>B16</f>
        <v>208274</v>
      </c>
      <c r="C32">
        <f>B32/$B$32</f>
        <v>1</v>
      </c>
      <c r="F32">
        <f>F16</f>
        <v>136282</v>
      </c>
      <c r="G32">
        <f>F32/$F$32</f>
        <v>1</v>
      </c>
      <c r="J32">
        <f>J16</f>
        <v>275463</v>
      </c>
      <c r="K32">
        <f>J32/$J$32</f>
        <v>1</v>
      </c>
    </row>
    <row r="33" spans="1:11" x14ac:dyDescent="0.25">
      <c r="A33" s="4">
        <v>2009</v>
      </c>
      <c r="B33">
        <f t="shared" ref="B33:B35" si="0">B17</f>
        <v>220225</v>
      </c>
      <c r="C33">
        <f t="shared" ref="C33:C36" si="1">B33/$B$32</f>
        <v>1.057381142149284</v>
      </c>
      <c r="F33">
        <f t="shared" ref="F33:F35" si="2">F17</f>
        <v>154374</v>
      </c>
      <c r="G33">
        <f t="shared" ref="G33:G36" si="3">F33/$F$32</f>
        <v>1.1327541421464316</v>
      </c>
      <c r="J33">
        <f t="shared" ref="J33:J35" si="4">J17</f>
        <v>224826</v>
      </c>
      <c r="K33">
        <f t="shared" ref="K33:K36" si="5">J33/$J$32</f>
        <v>0.81617494908572108</v>
      </c>
    </row>
    <row r="34" spans="1:11" x14ac:dyDescent="0.25">
      <c r="A34" s="4">
        <v>2010</v>
      </c>
      <c r="B34">
        <f t="shared" si="0"/>
        <v>220650</v>
      </c>
      <c r="C34">
        <f t="shared" si="1"/>
        <v>1.0594217233067977</v>
      </c>
      <c r="F34">
        <f t="shared" si="2"/>
        <v>161869</v>
      </c>
      <c r="G34">
        <f t="shared" si="3"/>
        <v>1.187750399906077</v>
      </c>
      <c r="J34">
        <f t="shared" si="4"/>
        <v>262767</v>
      </c>
      <c r="K34">
        <f t="shared" si="5"/>
        <v>0.95391032552466215</v>
      </c>
    </row>
    <row r="35" spans="1:11" x14ac:dyDescent="0.25">
      <c r="A35" s="4">
        <v>2011</v>
      </c>
      <c r="B35">
        <f t="shared" si="0"/>
        <v>218986</v>
      </c>
      <c r="C35">
        <f t="shared" si="1"/>
        <v>1.0514322479042031</v>
      </c>
      <c r="F35">
        <f t="shared" si="2"/>
        <v>162788</v>
      </c>
      <c r="G35">
        <f t="shared" si="3"/>
        <v>1.1944937702704685</v>
      </c>
      <c r="J35">
        <f t="shared" si="4"/>
        <v>258807</v>
      </c>
      <c r="K35">
        <f t="shared" si="5"/>
        <v>0.93953452913821456</v>
      </c>
    </row>
    <row r="36" spans="1:11" x14ac:dyDescent="0.25">
      <c r="A36" s="4" t="s">
        <v>5</v>
      </c>
      <c r="B36">
        <f>B19+(B20-B19)/4</f>
        <v>215486.25</v>
      </c>
      <c r="C36">
        <f t="shared" si="1"/>
        <v>1.0346286622430068</v>
      </c>
      <c r="F36">
        <f>F19+(F20-F19)/4</f>
        <v>164063.75</v>
      </c>
      <c r="G36">
        <f t="shared" si="3"/>
        <v>1.203854874451505</v>
      </c>
      <c r="J36">
        <f>J19+(J20-J19)/4</f>
        <v>260905</v>
      </c>
      <c r="K36">
        <f t="shared" si="5"/>
        <v>0.94715079702174154</v>
      </c>
    </row>
    <row r="39" spans="1:11" x14ac:dyDescent="0.25">
      <c r="A39" s="4">
        <v>2008</v>
      </c>
      <c r="B39">
        <f>C16</f>
        <v>18.7</v>
      </c>
      <c r="C39">
        <f>B39-$B$39</f>
        <v>0</v>
      </c>
      <c r="F39">
        <f>G16</f>
        <v>12.3</v>
      </c>
      <c r="G39">
        <f>F39-$F$39</f>
        <v>0</v>
      </c>
      <c r="J39">
        <f>K16</f>
        <v>24.7</v>
      </c>
      <c r="K39">
        <f>J39-$J$39</f>
        <v>0</v>
      </c>
    </row>
    <row r="40" spans="1:11" x14ac:dyDescent="0.25">
      <c r="A40" s="4">
        <v>2009</v>
      </c>
      <c r="B40">
        <f t="shared" ref="B40:B42" si="6">C17</f>
        <v>20.5</v>
      </c>
      <c r="C40">
        <f t="shared" ref="C40:C43" si="7">B40-$B$39</f>
        <v>1.8000000000000007</v>
      </c>
      <c r="F40">
        <f t="shared" ref="F40:F42" si="8">G17</f>
        <v>14.4</v>
      </c>
      <c r="G40">
        <f t="shared" ref="G40:G43" si="9">F40-$F$39</f>
        <v>2.0999999999999996</v>
      </c>
      <c r="J40">
        <f t="shared" ref="J40:J42" si="10">K17</f>
        <v>20.9</v>
      </c>
      <c r="K40">
        <f t="shared" ref="K40:K43" si="11">J40-$J$39</f>
        <v>-3.8000000000000007</v>
      </c>
    </row>
    <row r="41" spans="1:11" x14ac:dyDescent="0.25">
      <c r="A41" s="4">
        <v>2010</v>
      </c>
      <c r="B41">
        <f t="shared" si="6"/>
        <v>20.5</v>
      </c>
      <c r="C41">
        <f t="shared" si="7"/>
        <v>1.8000000000000007</v>
      </c>
      <c r="F41">
        <f t="shared" si="8"/>
        <v>15</v>
      </c>
      <c r="G41">
        <f t="shared" si="9"/>
        <v>2.6999999999999993</v>
      </c>
      <c r="J41">
        <f t="shared" si="10"/>
        <v>24.299999999999997</v>
      </c>
      <c r="K41">
        <f t="shared" si="11"/>
        <v>-0.40000000000000213</v>
      </c>
    </row>
    <row r="42" spans="1:11" x14ac:dyDescent="0.25">
      <c r="A42" s="4">
        <v>2011</v>
      </c>
      <c r="B42">
        <f t="shared" si="6"/>
        <v>20.5</v>
      </c>
      <c r="C42">
        <f t="shared" si="7"/>
        <v>1.8000000000000007</v>
      </c>
      <c r="F42">
        <f t="shared" si="8"/>
        <v>15.2</v>
      </c>
      <c r="G42">
        <f t="shared" si="9"/>
        <v>2.8999999999999986</v>
      </c>
      <c r="J42">
        <f t="shared" si="10"/>
        <v>24.299999999999997</v>
      </c>
      <c r="K42">
        <f t="shared" si="11"/>
        <v>-0.40000000000000213</v>
      </c>
    </row>
    <row r="43" spans="1:11" x14ac:dyDescent="0.25">
      <c r="A43" s="4" t="s">
        <v>5</v>
      </c>
      <c r="B43">
        <f>C19+(C20-C19)/4</f>
        <v>20.324999999999999</v>
      </c>
      <c r="C43">
        <f t="shared" si="7"/>
        <v>1.625</v>
      </c>
      <c r="F43">
        <f>G19+(G20-G19)/4</f>
        <v>15.45</v>
      </c>
      <c r="G43">
        <f t="shared" si="9"/>
        <v>3.1499999999999986</v>
      </c>
      <c r="J43">
        <f>K19+(K20-K19)/4</f>
        <v>24.674999999999997</v>
      </c>
      <c r="K43">
        <f t="shared" si="11"/>
        <v>-2.5000000000002132E-2</v>
      </c>
    </row>
    <row r="47" spans="1:11" x14ac:dyDescent="0.25">
      <c r="A47" s="2" t="s">
        <v>11</v>
      </c>
    </row>
    <row r="48" spans="1:11" x14ac:dyDescent="0.25">
      <c r="A48" s="9"/>
      <c r="B48" s="1" t="s">
        <v>6</v>
      </c>
      <c r="C48" s="1"/>
      <c r="D48" s="1" t="s">
        <v>7</v>
      </c>
      <c r="E48" s="1"/>
      <c r="F48" s="1" t="s">
        <v>8</v>
      </c>
      <c r="G48" s="1"/>
      <c r="H48" s="1" t="s">
        <v>9</v>
      </c>
      <c r="I48" s="1"/>
      <c r="J48" s="1"/>
      <c r="K48" s="1" t="s">
        <v>10</v>
      </c>
    </row>
    <row r="49" spans="1:12" x14ac:dyDescent="0.25">
      <c r="A49" s="9"/>
      <c r="B49" s="1" t="s">
        <v>1</v>
      </c>
      <c r="C49" s="1" t="s">
        <v>2</v>
      </c>
      <c r="D49" s="1" t="s">
        <v>1</v>
      </c>
      <c r="E49" s="1" t="s">
        <v>2</v>
      </c>
      <c r="F49" s="1" t="s">
        <v>1</v>
      </c>
      <c r="G49" s="1" t="s">
        <v>2</v>
      </c>
      <c r="H49" s="1" t="s">
        <v>1</v>
      </c>
      <c r="I49" s="1" t="s">
        <v>2</v>
      </c>
      <c r="J49" s="1"/>
      <c r="K49" s="1" t="s">
        <v>1</v>
      </c>
      <c r="L49" s="1" t="s">
        <v>2</v>
      </c>
    </row>
    <row r="50" spans="1:12" x14ac:dyDescent="0.25">
      <c r="A50" s="9">
        <v>1995</v>
      </c>
      <c r="B50" s="5">
        <v>23398.2</v>
      </c>
      <c r="C50" s="6">
        <v>5</v>
      </c>
      <c r="D50" s="6">
        <v>46976</v>
      </c>
      <c r="E50" s="6">
        <v>10</v>
      </c>
      <c r="F50" s="5">
        <v>44524.1</v>
      </c>
      <c r="G50" s="5">
        <v>9.5</v>
      </c>
      <c r="H50" s="5">
        <v>1529.1</v>
      </c>
      <c r="I50" s="5">
        <v>0.3</v>
      </c>
      <c r="K50" s="7">
        <f>B50+D50+F50+H50</f>
        <v>116427.4</v>
      </c>
      <c r="L50" s="8">
        <f>C50+E50+G50+I50</f>
        <v>24.8</v>
      </c>
    </row>
    <row r="51" spans="1:12" x14ac:dyDescent="0.25">
      <c r="A51" s="9">
        <v>1996</v>
      </c>
      <c r="B51" s="5">
        <v>25889.3</v>
      </c>
      <c r="C51" s="5">
        <v>5.0999999999999996</v>
      </c>
      <c r="D51" s="5">
        <v>50956.800000000003</v>
      </c>
      <c r="E51" s="5">
        <v>10.1</v>
      </c>
      <c r="F51" s="5">
        <v>47709.8</v>
      </c>
      <c r="G51" s="5">
        <v>9.4</v>
      </c>
      <c r="H51" s="5">
        <v>1718.2</v>
      </c>
      <c r="I51" s="5">
        <v>0.3</v>
      </c>
      <c r="K51" s="7">
        <f t="shared" ref="K51:L74" si="12">B51+D51+F51+H51</f>
        <v>126274.1</v>
      </c>
      <c r="L51" s="8">
        <f t="shared" si="12"/>
        <v>24.900000000000002</v>
      </c>
    </row>
    <row r="52" spans="1:12" x14ac:dyDescent="0.25">
      <c r="A52" s="9">
        <v>1997</v>
      </c>
      <c r="B52" s="5">
        <v>27571.7</v>
      </c>
      <c r="C52" s="5">
        <v>5.3</v>
      </c>
      <c r="D52" s="5">
        <v>54066.3</v>
      </c>
      <c r="E52" s="5">
        <v>10.4</v>
      </c>
      <c r="F52" s="5">
        <v>50557.7</v>
      </c>
      <c r="G52" s="5">
        <v>9.6999999999999993</v>
      </c>
      <c r="H52" s="5">
        <v>2460.4</v>
      </c>
      <c r="I52" s="5">
        <v>0.5</v>
      </c>
      <c r="K52" s="7">
        <f t="shared" si="12"/>
        <v>134656.1</v>
      </c>
      <c r="L52" s="8">
        <f t="shared" si="12"/>
        <v>25.9</v>
      </c>
    </row>
    <row r="53" spans="1:12" x14ac:dyDescent="0.25">
      <c r="A53" s="9">
        <v>1998</v>
      </c>
      <c r="B53" s="5">
        <v>30921.7</v>
      </c>
      <c r="C53" s="5">
        <v>5.6</v>
      </c>
      <c r="D53" s="5">
        <v>61202.400000000001</v>
      </c>
      <c r="E53" s="5">
        <v>11.1</v>
      </c>
      <c r="F53" s="5">
        <v>54607.1</v>
      </c>
      <c r="G53" s="5">
        <v>9.9</v>
      </c>
      <c r="H53" s="5">
        <v>1994.4</v>
      </c>
      <c r="I53" s="5">
        <v>0.4</v>
      </c>
      <c r="K53" s="7">
        <f t="shared" si="12"/>
        <v>148725.6</v>
      </c>
      <c r="L53" s="8">
        <f t="shared" si="12"/>
        <v>27</v>
      </c>
    </row>
    <row r="54" spans="1:12" x14ac:dyDescent="0.25">
      <c r="A54" s="9">
        <v>1999</v>
      </c>
      <c r="B54" s="6">
        <v>35072</v>
      </c>
      <c r="C54" s="5">
        <v>5.9</v>
      </c>
      <c r="D54" s="6">
        <v>67814</v>
      </c>
      <c r="E54" s="5">
        <v>11.4</v>
      </c>
      <c r="F54" s="6">
        <v>57860</v>
      </c>
      <c r="G54" s="5">
        <v>9.6999999999999993</v>
      </c>
      <c r="H54" s="6">
        <v>2206</v>
      </c>
      <c r="I54" s="5">
        <v>0.4</v>
      </c>
      <c r="K54" s="7">
        <f t="shared" si="12"/>
        <v>162952</v>
      </c>
      <c r="L54" s="8">
        <f t="shared" si="12"/>
        <v>27.4</v>
      </c>
    </row>
    <row r="55" spans="1:12" x14ac:dyDescent="0.25">
      <c r="A55" s="9">
        <v>2000</v>
      </c>
      <c r="B55" s="6">
        <v>37785</v>
      </c>
      <c r="C55" s="5">
        <v>5.8</v>
      </c>
      <c r="D55" s="6">
        <v>72939</v>
      </c>
      <c r="E55" s="5">
        <v>11.3</v>
      </c>
      <c r="F55" s="6">
        <v>62882</v>
      </c>
      <c r="G55" s="5">
        <v>9.6999999999999993</v>
      </c>
      <c r="H55" s="6">
        <v>2487</v>
      </c>
      <c r="I55" s="5">
        <v>0.4</v>
      </c>
      <c r="K55" s="7">
        <f t="shared" si="12"/>
        <v>176093</v>
      </c>
      <c r="L55" s="8">
        <f t="shared" si="12"/>
        <v>27.2</v>
      </c>
    </row>
    <row r="56" spans="1:12" x14ac:dyDescent="0.25">
      <c r="A56" s="9">
        <v>2001</v>
      </c>
      <c r="B56" s="6">
        <v>40106</v>
      </c>
      <c r="C56" s="5">
        <v>5.7</v>
      </c>
      <c r="D56" s="6">
        <v>76726</v>
      </c>
      <c r="E56" s="5">
        <v>10.9</v>
      </c>
      <c r="F56" s="6">
        <v>67520</v>
      </c>
      <c r="G56" s="5">
        <v>9.6</v>
      </c>
      <c r="H56" s="6">
        <v>2514</v>
      </c>
      <c r="I56" s="5">
        <v>0.4</v>
      </c>
      <c r="K56" s="7">
        <f t="shared" si="12"/>
        <v>186866</v>
      </c>
      <c r="L56" s="8">
        <f t="shared" si="12"/>
        <v>26.6</v>
      </c>
    </row>
    <row r="57" spans="1:12" x14ac:dyDescent="0.25">
      <c r="A57" s="9">
        <v>2002</v>
      </c>
      <c r="B57" s="6">
        <v>41673</v>
      </c>
      <c r="C57" s="5">
        <v>5.6</v>
      </c>
      <c r="D57" s="6">
        <v>82033</v>
      </c>
      <c r="E57" s="5">
        <v>10.9</v>
      </c>
      <c r="F57" s="6">
        <v>75736</v>
      </c>
      <c r="G57" s="5">
        <v>10.1</v>
      </c>
      <c r="H57" s="6">
        <v>2755</v>
      </c>
      <c r="I57" s="5">
        <v>0.4</v>
      </c>
      <c r="K57" s="7">
        <f t="shared" si="12"/>
        <v>202197</v>
      </c>
      <c r="L57" s="8">
        <f t="shared" si="12"/>
        <v>27</v>
      </c>
    </row>
    <row r="58" spans="1:12" x14ac:dyDescent="0.25">
      <c r="A58" s="9">
        <v>2003</v>
      </c>
      <c r="B58" s="6">
        <v>45645</v>
      </c>
      <c r="C58" s="5">
        <v>5.7</v>
      </c>
      <c r="D58" s="6">
        <v>89950</v>
      </c>
      <c r="E58" s="5">
        <v>11.2</v>
      </c>
      <c r="F58" s="6">
        <v>77381</v>
      </c>
      <c r="G58" s="5">
        <v>9.6</v>
      </c>
      <c r="H58" s="6">
        <v>3121</v>
      </c>
      <c r="I58" s="5">
        <v>0.4</v>
      </c>
      <c r="K58" s="7">
        <f t="shared" si="12"/>
        <v>216097</v>
      </c>
      <c r="L58" s="8">
        <f t="shared" si="12"/>
        <v>26.9</v>
      </c>
    </row>
    <row r="59" spans="1:12" x14ac:dyDescent="0.25">
      <c r="A59" s="9">
        <v>2004</v>
      </c>
      <c r="B59" s="6">
        <v>51272</v>
      </c>
      <c r="C59" s="6">
        <v>6</v>
      </c>
      <c r="D59" s="6">
        <v>100460</v>
      </c>
      <c r="E59" s="5">
        <v>11.7</v>
      </c>
      <c r="F59" s="6">
        <v>86080</v>
      </c>
      <c r="G59" s="6">
        <v>10</v>
      </c>
      <c r="H59" s="6">
        <v>3610</v>
      </c>
      <c r="I59" s="5">
        <v>0.4</v>
      </c>
      <c r="K59" s="7">
        <f t="shared" si="12"/>
        <v>241422</v>
      </c>
      <c r="L59" s="8">
        <f t="shared" si="12"/>
        <v>28.099999999999998</v>
      </c>
    </row>
    <row r="60" spans="1:12" x14ac:dyDescent="0.25">
      <c r="A60" s="9">
        <v>2005</v>
      </c>
      <c r="B60" s="6">
        <v>57716</v>
      </c>
      <c r="C60" s="5">
        <v>6.2</v>
      </c>
      <c r="D60" s="6">
        <v>112258</v>
      </c>
      <c r="E60" s="5">
        <v>12.1</v>
      </c>
      <c r="F60" s="6">
        <v>99881</v>
      </c>
      <c r="G60" s="5">
        <v>10.8</v>
      </c>
      <c r="H60" s="6">
        <v>4316</v>
      </c>
      <c r="I60" s="5">
        <v>0.5</v>
      </c>
      <c r="K60" s="7">
        <f t="shared" si="12"/>
        <v>274171</v>
      </c>
      <c r="L60" s="8">
        <f t="shared" si="12"/>
        <v>29.6</v>
      </c>
    </row>
    <row r="61" spans="1:12" x14ac:dyDescent="0.25">
      <c r="A61" s="9">
        <v>2006</v>
      </c>
      <c r="B61" s="6">
        <v>62365</v>
      </c>
      <c r="C61" s="5">
        <v>6.2</v>
      </c>
      <c r="D61" s="6">
        <v>122204</v>
      </c>
      <c r="E61" s="5">
        <v>12.2</v>
      </c>
      <c r="F61" s="6">
        <v>114702</v>
      </c>
      <c r="G61" s="5">
        <v>11.4</v>
      </c>
      <c r="H61" s="6">
        <v>4858</v>
      </c>
      <c r="I61" s="5">
        <v>0.5</v>
      </c>
      <c r="K61" s="7">
        <f t="shared" si="12"/>
        <v>304129</v>
      </c>
      <c r="L61" s="8">
        <f t="shared" si="12"/>
        <v>30.299999999999997</v>
      </c>
    </row>
    <row r="62" spans="1:12" x14ac:dyDescent="0.25">
      <c r="A62" s="9">
        <v>2007</v>
      </c>
      <c r="B62" s="6">
        <v>62743</v>
      </c>
      <c r="C62" s="5">
        <v>5.8</v>
      </c>
      <c r="D62" s="6">
        <v>122839</v>
      </c>
      <c r="E62" s="5">
        <v>11.4</v>
      </c>
      <c r="F62" s="6">
        <v>135000</v>
      </c>
      <c r="G62" s="5">
        <v>12.5</v>
      </c>
      <c r="H62" s="6">
        <v>5348</v>
      </c>
      <c r="I62" s="5">
        <v>0.5</v>
      </c>
      <c r="K62" s="7">
        <f t="shared" si="12"/>
        <v>325930</v>
      </c>
      <c r="L62" s="8">
        <f t="shared" si="12"/>
        <v>30.2</v>
      </c>
    </row>
    <row r="63" spans="1:12" x14ac:dyDescent="0.25">
      <c r="A63" s="9">
        <v>2008</v>
      </c>
      <c r="B63" s="6">
        <v>52347</v>
      </c>
      <c r="C63" s="5">
        <v>4.7</v>
      </c>
      <c r="D63" s="6">
        <v>104356</v>
      </c>
      <c r="E63" s="5">
        <v>9.4</v>
      </c>
      <c r="F63" s="6">
        <v>113916</v>
      </c>
      <c r="G63" s="5">
        <v>10.199999999999999</v>
      </c>
      <c r="H63" s="6">
        <v>4844</v>
      </c>
      <c r="I63" s="5">
        <v>0.4</v>
      </c>
      <c r="K63" s="7">
        <f t="shared" si="12"/>
        <v>275463</v>
      </c>
      <c r="L63" s="8">
        <f t="shared" si="12"/>
        <v>24.7</v>
      </c>
    </row>
    <row r="64" spans="1:12" x14ac:dyDescent="0.25">
      <c r="A64" s="9">
        <v>2009</v>
      </c>
      <c r="B64" s="6">
        <v>36786</v>
      </c>
      <c r="C64" s="5">
        <v>3.4</v>
      </c>
      <c r="D64" s="6">
        <v>86108</v>
      </c>
      <c r="E64" s="6">
        <v>8</v>
      </c>
      <c r="F64" s="6">
        <v>97621</v>
      </c>
      <c r="G64" s="5">
        <v>9.1</v>
      </c>
      <c r="H64" s="6">
        <v>4311</v>
      </c>
      <c r="I64" s="5">
        <v>0.4</v>
      </c>
      <c r="K64" s="7">
        <f t="shared" si="12"/>
        <v>224826</v>
      </c>
      <c r="L64" s="8">
        <f t="shared" si="12"/>
        <v>20.9</v>
      </c>
    </row>
    <row r="65" spans="1:12" x14ac:dyDescent="0.25">
      <c r="A65" s="9">
        <v>2010</v>
      </c>
      <c r="B65" s="6">
        <v>55318</v>
      </c>
      <c r="C65" s="5">
        <v>5.0999999999999996</v>
      </c>
      <c r="D65" s="6">
        <v>105981</v>
      </c>
      <c r="E65" s="5">
        <v>9.8000000000000007</v>
      </c>
      <c r="F65" s="6">
        <v>97247</v>
      </c>
      <c r="G65" s="6">
        <v>9</v>
      </c>
      <c r="H65" s="6">
        <v>4221</v>
      </c>
      <c r="I65" s="5">
        <v>0.4</v>
      </c>
      <c r="K65" s="7">
        <f t="shared" si="12"/>
        <v>262767</v>
      </c>
      <c r="L65" s="8">
        <f t="shared" si="12"/>
        <v>24.299999999999997</v>
      </c>
    </row>
    <row r="66" spans="1:12" x14ac:dyDescent="0.25">
      <c r="A66" s="9">
        <v>2011</v>
      </c>
      <c r="B66" s="6">
        <v>54101</v>
      </c>
      <c r="C66" s="5">
        <v>5.0999999999999996</v>
      </c>
      <c r="D66" s="6">
        <v>102441</v>
      </c>
      <c r="E66" s="5">
        <v>9.6</v>
      </c>
      <c r="F66" s="6">
        <v>98373</v>
      </c>
      <c r="G66" s="5">
        <v>9.1999999999999993</v>
      </c>
      <c r="H66" s="6">
        <v>3892</v>
      </c>
      <c r="I66" s="5">
        <v>0.4</v>
      </c>
      <c r="K66" s="7">
        <f t="shared" si="12"/>
        <v>258807</v>
      </c>
      <c r="L66" s="8">
        <f t="shared" si="12"/>
        <v>24.299999999999997</v>
      </c>
    </row>
    <row r="67" spans="1:12" x14ac:dyDescent="0.25">
      <c r="A67" s="9">
        <v>2012</v>
      </c>
      <c r="B67" s="6">
        <v>55021</v>
      </c>
      <c r="C67" s="5">
        <v>5.3</v>
      </c>
      <c r="D67" s="6">
        <v>105324</v>
      </c>
      <c r="E67" s="5">
        <v>10.199999999999999</v>
      </c>
      <c r="F67" s="6">
        <v>102973</v>
      </c>
      <c r="G67" s="5">
        <v>9.9</v>
      </c>
      <c r="H67" s="6">
        <v>3881</v>
      </c>
      <c r="I67" s="5">
        <v>0.4</v>
      </c>
      <c r="K67" s="7">
        <f t="shared" si="12"/>
        <v>267199</v>
      </c>
      <c r="L67" s="8">
        <f t="shared" si="12"/>
        <v>25.799999999999997</v>
      </c>
    </row>
    <row r="68" spans="1:12" x14ac:dyDescent="0.25">
      <c r="A68" s="9">
        <v>2013</v>
      </c>
      <c r="B68" s="6">
        <v>60314</v>
      </c>
      <c r="C68" s="5">
        <v>5.9</v>
      </c>
      <c r="D68" s="6">
        <v>112744</v>
      </c>
      <c r="E68" s="6">
        <v>11</v>
      </c>
      <c r="F68" s="6">
        <v>102233</v>
      </c>
      <c r="G68" s="6">
        <v>10</v>
      </c>
      <c r="H68" s="6">
        <v>5071</v>
      </c>
      <c r="I68" s="5">
        <v>0.5</v>
      </c>
      <c r="K68" s="7">
        <f>B68+D68+F68+H68</f>
        <v>280362</v>
      </c>
      <c r="L68" s="8">
        <f t="shared" si="12"/>
        <v>27.4</v>
      </c>
    </row>
    <row r="69" spans="1:12" x14ac:dyDescent="0.25">
      <c r="A69" s="9">
        <v>2014</v>
      </c>
      <c r="B69" s="6">
        <v>64091</v>
      </c>
      <c r="C69" s="5">
        <v>6.2</v>
      </c>
      <c r="D69" s="6">
        <v>118365</v>
      </c>
      <c r="E69" s="5">
        <v>11.4</v>
      </c>
      <c r="F69" s="6">
        <v>104395</v>
      </c>
      <c r="G69" s="6">
        <v>10</v>
      </c>
      <c r="H69" s="6">
        <v>5647</v>
      </c>
      <c r="I69" s="5">
        <v>0.5</v>
      </c>
      <c r="K69" s="7">
        <f t="shared" si="12"/>
        <v>292498</v>
      </c>
      <c r="L69" s="8">
        <f t="shared" si="12"/>
        <v>28.1</v>
      </c>
    </row>
    <row r="70" spans="1:12" x14ac:dyDescent="0.25">
      <c r="A70" s="9">
        <v>2015</v>
      </c>
      <c r="B70" s="6">
        <v>69294</v>
      </c>
      <c r="C70" s="5">
        <v>6.4</v>
      </c>
      <c r="D70" s="6">
        <v>126349</v>
      </c>
      <c r="E70" s="5">
        <v>11.6</v>
      </c>
      <c r="F70" s="6">
        <v>107107</v>
      </c>
      <c r="G70" s="5">
        <v>9.9</v>
      </c>
      <c r="H70" s="6">
        <v>6344</v>
      </c>
      <c r="I70" s="5">
        <v>0.6</v>
      </c>
      <c r="K70" s="7">
        <f t="shared" si="12"/>
        <v>309094</v>
      </c>
      <c r="L70" s="8">
        <f t="shared" si="12"/>
        <v>28.5</v>
      </c>
    </row>
    <row r="71" spans="1:12" x14ac:dyDescent="0.25">
      <c r="A71" s="9">
        <v>2016</v>
      </c>
      <c r="B71" s="6">
        <v>71753</v>
      </c>
      <c r="C71" s="5">
        <v>6.4</v>
      </c>
      <c r="D71" s="6">
        <v>128812</v>
      </c>
      <c r="E71" s="5">
        <v>11.5</v>
      </c>
      <c r="F71" s="6">
        <v>110002</v>
      </c>
      <c r="G71" s="5">
        <v>9.8000000000000007</v>
      </c>
      <c r="H71" s="6">
        <v>6429</v>
      </c>
      <c r="I71" s="5">
        <v>0.6</v>
      </c>
      <c r="K71" s="7">
        <f t="shared" si="12"/>
        <v>316996</v>
      </c>
      <c r="L71" s="8">
        <f t="shared" si="12"/>
        <v>28.3</v>
      </c>
    </row>
    <row r="72" spans="1:12" x14ac:dyDescent="0.25">
      <c r="A72" s="9">
        <v>2017</v>
      </c>
      <c r="B72" s="6">
        <v>75599</v>
      </c>
      <c r="C72" s="5">
        <v>6.5</v>
      </c>
      <c r="D72" s="6">
        <v>135067</v>
      </c>
      <c r="E72" s="5">
        <v>11.5</v>
      </c>
      <c r="F72" s="6">
        <v>116938</v>
      </c>
      <c r="G72" s="6">
        <v>10</v>
      </c>
      <c r="H72" s="6">
        <v>5716</v>
      </c>
      <c r="I72" s="5">
        <v>0.5</v>
      </c>
      <c r="K72" s="7">
        <f t="shared" si="12"/>
        <v>333320</v>
      </c>
      <c r="L72" s="8">
        <f t="shared" si="12"/>
        <v>28.5</v>
      </c>
    </row>
    <row r="73" spans="1:12" x14ac:dyDescent="0.25">
      <c r="A73" s="9">
        <v>2018</v>
      </c>
      <c r="B73" s="6">
        <v>79239</v>
      </c>
      <c r="C73" s="5">
        <v>6.5</v>
      </c>
      <c r="D73" s="6">
        <v>141184</v>
      </c>
      <c r="E73" s="5">
        <v>11.6</v>
      </c>
      <c r="F73" s="6">
        <v>127284</v>
      </c>
      <c r="G73" s="5">
        <v>10.5</v>
      </c>
      <c r="H73" s="6">
        <v>5595</v>
      </c>
      <c r="I73" s="5">
        <v>0.5</v>
      </c>
      <c r="K73" s="7">
        <f t="shared" si="12"/>
        <v>353302</v>
      </c>
      <c r="L73" s="8">
        <f t="shared" si="12"/>
        <v>29.1</v>
      </c>
    </row>
    <row r="74" spans="1:12" x14ac:dyDescent="0.25">
      <c r="A74" s="9">
        <v>2019</v>
      </c>
      <c r="B74" s="6">
        <v>80889</v>
      </c>
      <c r="C74" s="5">
        <v>6.5</v>
      </c>
      <c r="D74" s="6">
        <v>143058</v>
      </c>
      <c r="E74" s="5">
        <v>11.4</v>
      </c>
      <c r="F74" s="6">
        <v>129117</v>
      </c>
      <c r="G74" s="5">
        <v>10.3</v>
      </c>
      <c r="H74" s="6">
        <v>5510</v>
      </c>
      <c r="I74" s="5">
        <v>0.4</v>
      </c>
      <c r="K74" s="7">
        <f t="shared" si="12"/>
        <v>358574</v>
      </c>
      <c r="L74" s="8">
        <f t="shared" si="12"/>
        <v>28.599999999999998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E3AE-63C2-45E4-B4BB-57EB436EF14E}">
  <dimension ref="A1:L74"/>
  <sheetViews>
    <sheetView workbookViewId="0">
      <selection activeCell="K3" sqref="K3:K27"/>
    </sheetView>
  </sheetViews>
  <sheetFormatPr defaultRowHeight="15" x14ac:dyDescent="0.25"/>
  <sheetData>
    <row r="1" spans="1:11" x14ac:dyDescent="0.25">
      <c r="A1" t="s">
        <v>0</v>
      </c>
      <c r="F1" t="s">
        <v>3</v>
      </c>
      <c r="J1" t="s">
        <v>4</v>
      </c>
    </row>
    <row r="2" spans="1:11" x14ac:dyDescent="0.25">
      <c r="B2" s="1" t="s">
        <v>1</v>
      </c>
      <c r="C2" s="1" t="s">
        <v>2</v>
      </c>
      <c r="F2" s="1" t="s">
        <v>1</v>
      </c>
      <c r="G2" s="1" t="s">
        <v>2</v>
      </c>
      <c r="H2" s="1"/>
      <c r="J2" s="1" t="s">
        <v>1</v>
      </c>
      <c r="K2" s="1" t="s">
        <v>2</v>
      </c>
    </row>
    <row r="3" spans="1:11" x14ac:dyDescent="0.25">
      <c r="A3" s="4">
        <v>1995</v>
      </c>
      <c r="B3" s="10">
        <v>157441.79999999999</v>
      </c>
      <c r="C3" s="10">
        <v>17.5</v>
      </c>
      <c r="F3" s="10">
        <v>140078.39999999999</v>
      </c>
      <c r="G3" s="10">
        <v>15.6</v>
      </c>
      <c r="J3">
        <v>282269.2</v>
      </c>
      <c r="K3">
        <v>31.3</v>
      </c>
    </row>
    <row r="4" spans="1:11" x14ac:dyDescent="0.25">
      <c r="A4" s="4">
        <v>1996</v>
      </c>
      <c r="B4" s="11">
        <v>183064</v>
      </c>
      <c r="C4" s="10">
        <v>17.7</v>
      </c>
      <c r="F4" s="10">
        <v>163832.4</v>
      </c>
      <c r="G4" s="10">
        <v>15.8</v>
      </c>
      <c r="J4">
        <v>325163</v>
      </c>
      <c r="K4">
        <v>31.400000000000002</v>
      </c>
    </row>
    <row r="5" spans="1:11" x14ac:dyDescent="0.25">
      <c r="A5" s="4">
        <v>1997</v>
      </c>
      <c r="B5" s="10">
        <v>194915.3</v>
      </c>
      <c r="C5" s="10">
        <v>17.7</v>
      </c>
      <c r="F5" s="11">
        <v>178410</v>
      </c>
      <c r="G5" s="10">
        <v>16.2</v>
      </c>
      <c r="J5">
        <v>364594.89999999997</v>
      </c>
      <c r="K5">
        <v>33.200000000000003</v>
      </c>
    </row>
    <row r="6" spans="1:11" x14ac:dyDescent="0.25">
      <c r="A6" s="4">
        <v>1998</v>
      </c>
      <c r="B6" s="10">
        <v>199981.3</v>
      </c>
      <c r="C6" s="10">
        <v>17.600000000000001</v>
      </c>
      <c r="F6" s="10">
        <v>181260.6</v>
      </c>
      <c r="G6" s="10">
        <v>15.9</v>
      </c>
      <c r="J6">
        <v>393339.80000000005</v>
      </c>
      <c r="K6">
        <v>34.6</v>
      </c>
    </row>
    <row r="7" spans="1:11" x14ac:dyDescent="0.25">
      <c r="A7" s="4">
        <v>1999</v>
      </c>
      <c r="B7" s="11">
        <v>207383</v>
      </c>
      <c r="C7" s="10">
        <v>17.600000000000001</v>
      </c>
      <c r="F7" s="11">
        <v>190424</v>
      </c>
      <c r="G7" s="10">
        <v>16.2</v>
      </c>
      <c r="J7">
        <v>408767</v>
      </c>
      <c r="K7">
        <v>34.700000000000003</v>
      </c>
    </row>
    <row r="8" spans="1:11" x14ac:dyDescent="0.25">
      <c r="A8" s="4">
        <v>2000</v>
      </c>
      <c r="B8" s="11">
        <v>221855</v>
      </c>
      <c r="C8" s="10">
        <v>17.8</v>
      </c>
      <c r="F8" s="11">
        <v>195723</v>
      </c>
      <c r="G8" s="10">
        <v>15.7</v>
      </c>
      <c r="J8">
        <v>428042</v>
      </c>
      <c r="K8">
        <v>34.300000000000004</v>
      </c>
    </row>
    <row r="9" spans="1:11" x14ac:dyDescent="0.25">
      <c r="A9" s="4">
        <v>2001</v>
      </c>
      <c r="B9" s="11">
        <v>241767</v>
      </c>
      <c r="C9" s="10">
        <v>18.5</v>
      </c>
      <c r="F9" s="11">
        <v>203108</v>
      </c>
      <c r="G9" s="10">
        <v>15.5</v>
      </c>
      <c r="J9">
        <v>444833</v>
      </c>
      <c r="K9">
        <v>34</v>
      </c>
    </row>
    <row r="10" spans="1:11" x14ac:dyDescent="0.25">
      <c r="A10" s="4">
        <v>2002</v>
      </c>
      <c r="B10" s="11">
        <v>252325</v>
      </c>
      <c r="C10" s="10">
        <v>18.600000000000001</v>
      </c>
      <c r="F10" s="11">
        <v>214278</v>
      </c>
      <c r="G10" s="10">
        <v>15.8</v>
      </c>
      <c r="J10">
        <v>453629</v>
      </c>
      <c r="K10">
        <v>33.400000000000006</v>
      </c>
    </row>
    <row r="11" spans="1:11" x14ac:dyDescent="0.25">
      <c r="A11" s="4">
        <v>2003</v>
      </c>
      <c r="B11" s="11">
        <v>266794</v>
      </c>
      <c r="C11" s="10">
        <v>19.100000000000001</v>
      </c>
      <c r="F11" s="11">
        <v>224365</v>
      </c>
      <c r="G11" s="11">
        <v>16</v>
      </c>
      <c r="J11">
        <v>466233</v>
      </c>
      <c r="K11">
        <v>33.4</v>
      </c>
    </row>
    <row r="12" spans="1:11" x14ac:dyDescent="0.25">
      <c r="A12" s="4">
        <v>2004</v>
      </c>
      <c r="B12" s="11">
        <v>280686</v>
      </c>
      <c r="C12" s="10">
        <v>19.3</v>
      </c>
      <c r="F12" s="11">
        <v>234595</v>
      </c>
      <c r="G12" s="10">
        <v>16.100000000000001</v>
      </c>
      <c r="J12">
        <v>474331</v>
      </c>
      <c r="K12">
        <v>32.599999999999994</v>
      </c>
    </row>
    <row r="13" spans="1:11" x14ac:dyDescent="0.25">
      <c r="A13" s="4">
        <v>2005</v>
      </c>
      <c r="B13" s="11">
        <v>295313</v>
      </c>
      <c r="C13" s="10">
        <v>19.7</v>
      </c>
      <c r="F13" s="11">
        <v>242245</v>
      </c>
      <c r="G13" s="10">
        <v>16.2</v>
      </c>
      <c r="J13">
        <v>486254</v>
      </c>
      <c r="K13">
        <v>32.4</v>
      </c>
    </row>
    <row r="14" spans="1:11" x14ac:dyDescent="0.25">
      <c r="A14" s="4">
        <v>2006</v>
      </c>
      <c r="B14" s="11">
        <v>304957</v>
      </c>
      <c r="C14" s="10">
        <v>19.600000000000001</v>
      </c>
      <c r="F14" s="11">
        <v>252104</v>
      </c>
      <c r="G14" s="10">
        <v>16.2</v>
      </c>
      <c r="J14">
        <v>530885</v>
      </c>
      <c r="K14">
        <v>34</v>
      </c>
    </row>
    <row r="15" spans="1:11" x14ac:dyDescent="0.25">
      <c r="A15" s="4">
        <v>2007</v>
      </c>
      <c r="B15" s="11">
        <v>309847</v>
      </c>
      <c r="C15" s="10">
        <v>19.100000000000001</v>
      </c>
      <c r="F15" s="11">
        <v>264407</v>
      </c>
      <c r="G15" s="10">
        <v>16.3</v>
      </c>
      <c r="J15">
        <v>561631</v>
      </c>
      <c r="K15">
        <v>34.6</v>
      </c>
    </row>
    <row r="16" spans="1:11" x14ac:dyDescent="0.25">
      <c r="A16" s="4">
        <v>2008</v>
      </c>
      <c r="B16" s="11">
        <v>323353</v>
      </c>
      <c r="C16" s="10">
        <v>19.7</v>
      </c>
      <c r="F16" s="11">
        <v>277270</v>
      </c>
      <c r="G16" s="10">
        <v>16.899999999999999</v>
      </c>
      <c r="J16">
        <v>556563</v>
      </c>
      <c r="K16">
        <v>33.799999999999997</v>
      </c>
    </row>
    <row r="17" spans="1:11" x14ac:dyDescent="0.25">
      <c r="A17" s="4">
        <v>2009</v>
      </c>
      <c r="B17" s="11">
        <v>329825</v>
      </c>
      <c r="C17" s="10">
        <v>20.8</v>
      </c>
      <c r="F17" s="11">
        <v>291627</v>
      </c>
      <c r="G17" s="10">
        <v>18.399999999999999</v>
      </c>
      <c r="J17">
        <v>535331</v>
      </c>
      <c r="K17">
        <v>33.699999999999996</v>
      </c>
    </row>
    <row r="18" spans="1:11" x14ac:dyDescent="0.25">
      <c r="A18" s="4">
        <v>2010</v>
      </c>
      <c r="B18" s="11">
        <v>334716</v>
      </c>
      <c r="C18" s="10">
        <v>20.7</v>
      </c>
      <c r="F18" s="11">
        <v>298695</v>
      </c>
      <c r="G18" s="10">
        <v>18.5</v>
      </c>
      <c r="J18">
        <v>552928</v>
      </c>
      <c r="K18">
        <v>34.1</v>
      </c>
    </row>
    <row r="19" spans="1:11" x14ac:dyDescent="0.25">
      <c r="A19" s="4">
        <v>2011</v>
      </c>
      <c r="B19" s="11">
        <v>330543</v>
      </c>
      <c r="C19" s="10">
        <v>19.899999999999999</v>
      </c>
      <c r="F19" s="11">
        <v>304478</v>
      </c>
      <c r="G19" s="10">
        <v>18.399999999999999</v>
      </c>
      <c r="J19">
        <v>565391</v>
      </c>
      <c r="K19">
        <v>34.1</v>
      </c>
    </row>
    <row r="20" spans="1:11" x14ac:dyDescent="0.25">
      <c r="A20" s="4">
        <v>2012</v>
      </c>
      <c r="B20" s="11">
        <v>325528</v>
      </c>
      <c r="C20" s="10">
        <v>19.899999999999999</v>
      </c>
      <c r="F20" s="11">
        <v>311748</v>
      </c>
      <c r="G20" s="10">
        <v>19.100000000000001</v>
      </c>
      <c r="J20">
        <v>584857</v>
      </c>
      <c r="K20">
        <v>35.9</v>
      </c>
    </row>
    <row r="21" spans="1:11" x14ac:dyDescent="0.25">
      <c r="A21" s="4">
        <v>2013</v>
      </c>
      <c r="B21" s="11">
        <v>323354</v>
      </c>
      <c r="C21" s="10">
        <v>19.899999999999999</v>
      </c>
      <c r="F21" s="11">
        <v>319978</v>
      </c>
      <c r="G21" s="10">
        <v>19.7</v>
      </c>
      <c r="J21">
        <v>581018</v>
      </c>
      <c r="K21">
        <v>35.9</v>
      </c>
    </row>
    <row r="22" spans="1:11" x14ac:dyDescent="0.25">
      <c r="A22" s="4">
        <v>2014</v>
      </c>
      <c r="B22" s="11">
        <v>321041</v>
      </c>
      <c r="C22" s="10">
        <v>19.600000000000001</v>
      </c>
      <c r="F22" s="11">
        <v>327010</v>
      </c>
      <c r="G22" s="11">
        <v>20</v>
      </c>
      <c r="J22">
        <v>587611</v>
      </c>
      <c r="K22">
        <v>35.9</v>
      </c>
    </row>
    <row r="23" spans="1:11" x14ac:dyDescent="0.25">
      <c r="A23" s="4">
        <v>2015</v>
      </c>
      <c r="B23" s="11">
        <v>318892</v>
      </c>
      <c r="C23" s="10">
        <v>19.2</v>
      </c>
      <c r="F23" s="11">
        <v>332924</v>
      </c>
      <c r="G23" s="11">
        <v>20</v>
      </c>
      <c r="J23">
        <v>594412</v>
      </c>
      <c r="K23">
        <v>35.700000000000003</v>
      </c>
    </row>
    <row r="24" spans="1:11" x14ac:dyDescent="0.25">
      <c r="A24" s="4">
        <v>2016</v>
      </c>
      <c r="B24" s="11">
        <v>326278</v>
      </c>
      <c r="C24" s="10">
        <v>19.100000000000001</v>
      </c>
      <c r="F24" s="11">
        <v>336370</v>
      </c>
      <c r="G24" s="10">
        <v>19.7</v>
      </c>
      <c r="J24">
        <v>600018</v>
      </c>
      <c r="K24">
        <v>35.199999999999996</v>
      </c>
    </row>
    <row r="25" spans="1:11" x14ac:dyDescent="0.25">
      <c r="A25" s="4">
        <v>2017</v>
      </c>
      <c r="B25" s="11">
        <v>331415</v>
      </c>
      <c r="C25" s="11">
        <v>19</v>
      </c>
      <c r="F25" s="11">
        <v>341404</v>
      </c>
      <c r="G25" s="10">
        <v>19.600000000000001</v>
      </c>
      <c r="J25">
        <v>610883</v>
      </c>
      <c r="K25">
        <v>35.000000000000007</v>
      </c>
    </row>
    <row r="26" spans="1:11" x14ac:dyDescent="0.25">
      <c r="A26" s="4">
        <v>2018</v>
      </c>
      <c r="B26" s="11">
        <v>335725</v>
      </c>
      <c r="C26" s="10">
        <v>18.899999999999999</v>
      </c>
      <c r="F26" s="11">
        <v>348474</v>
      </c>
      <c r="G26" s="10">
        <v>19.600000000000001</v>
      </c>
      <c r="J26">
        <v>615677</v>
      </c>
      <c r="K26">
        <v>34.700000000000003</v>
      </c>
    </row>
    <row r="27" spans="1:11" x14ac:dyDescent="0.25">
      <c r="A27" s="4">
        <v>2019</v>
      </c>
      <c r="B27" s="11">
        <v>337134</v>
      </c>
      <c r="C27" s="10">
        <v>18.7</v>
      </c>
      <c r="F27" s="11">
        <v>361203</v>
      </c>
      <c r="G27" s="11">
        <v>20</v>
      </c>
      <c r="J27">
        <v>632409</v>
      </c>
      <c r="K27">
        <v>35.1</v>
      </c>
    </row>
    <row r="28" spans="1:11" x14ac:dyDescent="0.25">
      <c r="A28" s="4"/>
    </row>
    <row r="29" spans="1:11" x14ac:dyDescent="0.25">
      <c r="A29" s="4"/>
    </row>
    <row r="30" spans="1:11" x14ac:dyDescent="0.25">
      <c r="A30" s="4"/>
    </row>
    <row r="31" spans="1:11" x14ac:dyDescent="0.25">
      <c r="A31" s="4"/>
    </row>
    <row r="32" spans="1:11" x14ac:dyDescent="0.25">
      <c r="A32" s="4">
        <v>2008</v>
      </c>
      <c r="B32">
        <f>B16</f>
        <v>323353</v>
      </c>
      <c r="C32">
        <f>B32/$B$32</f>
        <v>1</v>
      </c>
      <c r="F32">
        <f>F16</f>
        <v>277270</v>
      </c>
      <c r="G32">
        <f>F32/$F$32</f>
        <v>1</v>
      </c>
      <c r="J32">
        <f>J16</f>
        <v>556563</v>
      </c>
      <c r="K32">
        <f>J32/$J$32</f>
        <v>1</v>
      </c>
    </row>
    <row r="33" spans="1:11" x14ac:dyDescent="0.25">
      <c r="A33" s="4">
        <v>2009</v>
      </c>
      <c r="B33">
        <f t="shared" ref="B33:B35" si="0">B17</f>
        <v>329825</v>
      </c>
      <c r="C33">
        <f t="shared" ref="C33:C36" si="1">B33/$B$32</f>
        <v>1.0200152774212703</v>
      </c>
      <c r="F33">
        <f t="shared" ref="F33:F35" si="2">F17</f>
        <v>291627</v>
      </c>
      <c r="G33">
        <f t="shared" ref="G33:G36" si="3">F33/$F$32</f>
        <v>1.0517798535723302</v>
      </c>
      <c r="J33">
        <f t="shared" ref="J33:J35" si="4">J17</f>
        <v>535331</v>
      </c>
      <c r="K33">
        <f t="shared" ref="K33:K36" si="5">J33/$J$32</f>
        <v>0.96185157834782409</v>
      </c>
    </row>
    <row r="34" spans="1:11" x14ac:dyDescent="0.25">
      <c r="A34" s="4">
        <v>2010</v>
      </c>
      <c r="B34">
        <f t="shared" si="0"/>
        <v>334716</v>
      </c>
      <c r="C34">
        <f t="shared" si="1"/>
        <v>1.0351411615169799</v>
      </c>
      <c r="F34">
        <f t="shared" si="2"/>
        <v>298695</v>
      </c>
      <c r="G34">
        <f t="shared" si="3"/>
        <v>1.0772712518483789</v>
      </c>
      <c r="J34">
        <f t="shared" si="4"/>
        <v>552928</v>
      </c>
      <c r="K34">
        <f t="shared" si="5"/>
        <v>0.99346884359901755</v>
      </c>
    </row>
    <row r="35" spans="1:11" x14ac:dyDescent="0.25">
      <c r="A35" s="4">
        <v>2011</v>
      </c>
      <c r="B35">
        <f t="shared" si="0"/>
        <v>330543</v>
      </c>
      <c r="C35">
        <f t="shared" si="1"/>
        <v>1.0222357609176349</v>
      </c>
      <c r="F35">
        <f t="shared" si="2"/>
        <v>304478</v>
      </c>
      <c r="G35">
        <f t="shared" si="3"/>
        <v>1.0981281783099506</v>
      </c>
      <c r="J35">
        <f t="shared" si="4"/>
        <v>565391</v>
      </c>
      <c r="K35">
        <f t="shared" si="5"/>
        <v>1.0158616365083557</v>
      </c>
    </row>
    <row r="36" spans="1:11" x14ac:dyDescent="0.25">
      <c r="A36" s="4" t="s">
        <v>5</v>
      </c>
      <c r="B36">
        <f>B19+(B20-B19)/4</f>
        <v>329289.25</v>
      </c>
      <c r="C36">
        <f t="shared" si="1"/>
        <v>1.0183584194363435</v>
      </c>
      <c r="F36">
        <f>F19+(F20-F19)/4</f>
        <v>306295.5</v>
      </c>
      <c r="G36">
        <f t="shared" si="3"/>
        <v>1.1046831608179752</v>
      </c>
      <c r="J36">
        <f>J19+(J20-J19)/4</f>
        <v>570257.5</v>
      </c>
      <c r="K36">
        <f t="shared" si="5"/>
        <v>1.024605480421803</v>
      </c>
    </row>
    <row r="39" spans="1:11" x14ac:dyDescent="0.25">
      <c r="A39" s="4">
        <v>2008</v>
      </c>
      <c r="B39">
        <f>C16</f>
        <v>19.7</v>
      </c>
      <c r="C39">
        <f>B39-$B$39</f>
        <v>0</v>
      </c>
      <c r="F39">
        <f>G16</f>
        <v>16.899999999999999</v>
      </c>
      <c r="G39">
        <f>F39-$F$39</f>
        <v>0</v>
      </c>
      <c r="J39">
        <f>K16</f>
        <v>33.799999999999997</v>
      </c>
      <c r="K39">
        <f>J39-$J$39</f>
        <v>0</v>
      </c>
    </row>
    <row r="40" spans="1:11" x14ac:dyDescent="0.25">
      <c r="A40" s="4">
        <v>2009</v>
      </c>
      <c r="B40">
        <f t="shared" ref="B40:B42" si="6">C17</f>
        <v>20.8</v>
      </c>
      <c r="C40">
        <f t="shared" ref="C40:C43" si="7">B40-$B$39</f>
        <v>1.1000000000000014</v>
      </c>
      <c r="F40">
        <f t="shared" ref="F40:F42" si="8">G17</f>
        <v>18.399999999999999</v>
      </c>
      <c r="G40">
        <f t="shared" ref="G40:G43" si="9">F40-$F$39</f>
        <v>1.5</v>
      </c>
      <c r="J40">
        <f t="shared" ref="J40:J42" si="10">K17</f>
        <v>33.699999999999996</v>
      </c>
      <c r="K40">
        <f t="shared" ref="K40:K43" si="11">J40-$J$39</f>
        <v>-0.10000000000000142</v>
      </c>
    </row>
    <row r="41" spans="1:11" x14ac:dyDescent="0.25">
      <c r="A41" s="4">
        <v>2010</v>
      </c>
      <c r="B41">
        <f t="shared" si="6"/>
        <v>20.7</v>
      </c>
      <c r="C41">
        <f t="shared" si="7"/>
        <v>1</v>
      </c>
      <c r="F41">
        <f t="shared" si="8"/>
        <v>18.5</v>
      </c>
      <c r="G41">
        <f t="shared" si="9"/>
        <v>1.6000000000000014</v>
      </c>
      <c r="J41">
        <f t="shared" si="10"/>
        <v>34.1</v>
      </c>
      <c r="K41">
        <f t="shared" si="11"/>
        <v>0.30000000000000426</v>
      </c>
    </row>
    <row r="42" spans="1:11" x14ac:dyDescent="0.25">
      <c r="A42" s="4">
        <v>2011</v>
      </c>
      <c r="B42">
        <f t="shared" si="6"/>
        <v>19.899999999999999</v>
      </c>
      <c r="C42">
        <f t="shared" si="7"/>
        <v>0.19999999999999929</v>
      </c>
      <c r="F42">
        <f t="shared" si="8"/>
        <v>18.399999999999999</v>
      </c>
      <c r="G42">
        <f t="shared" si="9"/>
        <v>1.5</v>
      </c>
      <c r="J42">
        <f t="shared" si="10"/>
        <v>34.1</v>
      </c>
      <c r="K42">
        <f t="shared" si="11"/>
        <v>0.30000000000000426</v>
      </c>
    </row>
    <row r="43" spans="1:11" x14ac:dyDescent="0.25">
      <c r="A43" s="4" t="s">
        <v>5</v>
      </c>
      <c r="B43">
        <f>C19+(C20-C19)/4</f>
        <v>19.899999999999999</v>
      </c>
      <c r="C43">
        <f t="shared" si="7"/>
        <v>0.19999999999999929</v>
      </c>
      <c r="F43">
        <f>G19+(G20-G19)/4</f>
        <v>18.574999999999999</v>
      </c>
      <c r="G43">
        <f t="shared" si="9"/>
        <v>1.6750000000000007</v>
      </c>
      <c r="J43">
        <f>K19+(K20-K19)/4</f>
        <v>34.549999999999997</v>
      </c>
      <c r="K43">
        <f t="shared" si="11"/>
        <v>0.75</v>
      </c>
    </row>
    <row r="47" spans="1:11" x14ac:dyDescent="0.25">
      <c r="A47" s="2" t="s">
        <v>11</v>
      </c>
    </row>
    <row r="48" spans="1:11" x14ac:dyDescent="0.25">
      <c r="A48" s="9"/>
      <c r="B48" s="1" t="s">
        <v>6</v>
      </c>
      <c r="C48" s="1"/>
      <c r="D48" s="1" t="s">
        <v>7</v>
      </c>
      <c r="E48" s="1"/>
      <c r="F48" s="1" t="s">
        <v>8</v>
      </c>
      <c r="G48" s="1"/>
      <c r="H48" s="1" t="s">
        <v>9</v>
      </c>
      <c r="I48" s="1"/>
      <c r="J48" s="1"/>
      <c r="K48" s="1" t="s">
        <v>10</v>
      </c>
    </row>
    <row r="49" spans="1:12" x14ac:dyDescent="0.25">
      <c r="A49" s="9"/>
      <c r="B49" s="1" t="s">
        <v>1</v>
      </c>
      <c r="C49" s="1" t="s">
        <v>2</v>
      </c>
      <c r="D49" s="1" t="s">
        <v>1</v>
      </c>
      <c r="E49" s="1" t="s">
        <v>2</v>
      </c>
      <c r="F49" s="1" t="s">
        <v>1</v>
      </c>
      <c r="G49" s="1" t="s">
        <v>2</v>
      </c>
      <c r="H49" s="1" t="s">
        <v>1</v>
      </c>
      <c r="I49" s="1" t="s">
        <v>2</v>
      </c>
      <c r="J49" s="1"/>
      <c r="K49" s="1" t="s">
        <v>1</v>
      </c>
      <c r="L49" s="1" t="s">
        <v>2</v>
      </c>
    </row>
    <row r="50" spans="1:12" x14ac:dyDescent="0.25">
      <c r="A50" s="9">
        <v>1995</v>
      </c>
      <c r="B50" s="10">
        <v>47715.4</v>
      </c>
      <c r="C50" s="10">
        <v>5.3</v>
      </c>
      <c r="D50" s="10">
        <v>105195.1</v>
      </c>
      <c r="E50" s="10">
        <v>11.7</v>
      </c>
      <c r="F50" s="10">
        <v>124563.8</v>
      </c>
      <c r="G50" s="10">
        <v>13.8</v>
      </c>
      <c r="H50" s="10">
        <v>4794.8999999999996</v>
      </c>
      <c r="I50" s="10">
        <v>0.5</v>
      </c>
      <c r="K50" s="7">
        <f>B50+D50+F50+H50</f>
        <v>282269.2</v>
      </c>
      <c r="L50" s="8">
        <f>C50+E50+G50+I50</f>
        <v>31.3</v>
      </c>
    </row>
    <row r="51" spans="1:12" x14ac:dyDescent="0.25">
      <c r="A51" s="9">
        <v>1996</v>
      </c>
      <c r="B51" s="10">
        <v>53374.6</v>
      </c>
      <c r="C51" s="10">
        <v>5.2</v>
      </c>
      <c r="D51" s="10">
        <v>119370.3</v>
      </c>
      <c r="E51" s="10">
        <v>11.5</v>
      </c>
      <c r="F51" s="10">
        <v>149571.5</v>
      </c>
      <c r="G51" s="10">
        <v>14.4</v>
      </c>
      <c r="H51" s="10">
        <v>2846.6</v>
      </c>
      <c r="I51" s="10">
        <v>0.3</v>
      </c>
      <c r="K51" s="7">
        <f t="shared" ref="K51:L74" si="12">B51+D51+F51+H51</f>
        <v>325163</v>
      </c>
      <c r="L51" s="8">
        <f t="shared" si="12"/>
        <v>31.400000000000002</v>
      </c>
    </row>
    <row r="52" spans="1:12" x14ac:dyDescent="0.25">
      <c r="A52" s="9">
        <v>1997</v>
      </c>
      <c r="B52" s="10">
        <v>59293.4</v>
      </c>
      <c r="C52" s="10">
        <v>5.4</v>
      </c>
      <c r="D52" s="10">
        <v>131684.79999999999</v>
      </c>
      <c r="E52" s="11">
        <v>12</v>
      </c>
      <c r="F52" s="10">
        <v>166369.60000000001</v>
      </c>
      <c r="G52" s="10">
        <v>15.1</v>
      </c>
      <c r="H52" s="10">
        <v>7247.1</v>
      </c>
      <c r="I52" s="10">
        <v>0.7</v>
      </c>
      <c r="K52" s="7">
        <f t="shared" si="12"/>
        <v>364594.89999999997</v>
      </c>
      <c r="L52" s="8">
        <f t="shared" si="12"/>
        <v>33.200000000000003</v>
      </c>
    </row>
    <row r="53" spans="1:12" x14ac:dyDescent="0.25">
      <c r="A53" s="9">
        <v>1998</v>
      </c>
      <c r="B53" s="11">
        <v>66158</v>
      </c>
      <c r="C53" s="10">
        <v>5.8</v>
      </c>
      <c r="D53" s="10">
        <v>167913.4</v>
      </c>
      <c r="E53" s="10">
        <v>14.8</v>
      </c>
      <c r="F53" s="11">
        <v>155160</v>
      </c>
      <c r="G53" s="10">
        <v>13.6</v>
      </c>
      <c r="H53" s="10">
        <v>4108.3999999999996</v>
      </c>
      <c r="I53" s="10">
        <v>0.4</v>
      </c>
      <c r="K53" s="7">
        <f t="shared" si="12"/>
        <v>393339.80000000005</v>
      </c>
      <c r="L53" s="8">
        <f t="shared" si="12"/>
        <v>34.6</v>
      </c>
    </row>
    <row r="54" spans="1:12" x14ac:dyDescent="0.25">
      <c r="A54" s="9">
        <v>1999</v>
      </c>
      <c r="B54" s="11">
        <v>68653</v>
      </c>
      <c r="C54" s="10">
        <v>5.8</v>
      </c>
      <c r="D54" s="11">
        <v>170780</v>
      </c>
      <c r="E54" s="10">
        <v>14.5</v>
      </c>
      <c r="F54" s="11">
        <v>168082</v>
      </c>
      <c r="G54" s="10">
        <v>14.3</v>
      </c>
      <c r="H54" s="11">
        <v>1252</v>
      </c>
      <c r="I54" s="10">
        <v>0.1</v>
      </c>
      <c r="K54" s="7">
        <f t="shared" si="12"/>
        <v>408767</v>
      </c>
      <c r="L54" s="8">
        <f t="shared" si="12"/>
        <v>34.700000000000003</v>
      </c>
    </row>
    <row r="55" spans="1:12" x14ac:dyDescent="0.25">
      <c r="A55" s="9">
        <v>2000</v>
      </c>
      <c r="B55" s="11">
        <v>77460</v>
      </c>
      <c r="C55" s="10">
        <v>6.2</v>
      </c>
      <c r="D55" s="11">
        <v>178425</v>
      </c>
      <c r="E55" s="10">
        <v>14.3</v>
      </c>
      <c r="F55" s="11">
        <v>171067</v>
      </c>
      <c r="G55" s="10">
        <v>13.7</v>
      </c>
      <c r="H55" s="11">
        <v>1090</v>
      </c>
      <c r="I55" s="10">
        <v>0.1</v>
      </c>
      <c r="K55" s="7">
        <f t="shared" si="12"/>
        <v>428042</v>
      </c>
      <c r="L55" s="8">
        <f t="shared" si="12"/>
        <v>34.300000000000004</v>
      </c>
    </row>
    <row r="56" spans="1:12" x14ac:dyDescent="0.25">
      <c r="A56" s="9">
        <v>2001</v>
      </c>
      <c r="B56" s="11">
        <v>77823</v>
      </c>
      <c r="C56" s="10">
        <v>5.9</v>
      </c>
      <c r="D56" s="11">
        <v>182701</v>
      </c>
      <c r="E56" s="11">
        <v>14</v>
      </c>
      <c r="F56" s="11">
        <v>183261</v>
      </c>
      <c r="G56" s="11">
        <v>14</v>
      </c>
      <c r="H56" s="11">
        <v>1048</v>
      </c>
      <c r="I56" s="10">
        <v>0.1</v>
      </c>
      <c r="K56" s="7">
        <f t="shared" si="12"/>
        <v>444833</v>
      </c>
      <c r="L56" s="8">
        <f t="shared" si="12"/>
        <v>34</v>
      </c>
    </row>
    <row r="57" spans="1:12" x14ac:dyDescent="0.25">
      <c r="A57" s="9">
        <v>2002</v>
      </c>
      <c r="B57" s="11">
        <v>80032</v>
      </c>
      <c r="C57" s="10">
        <v>5.9</v>
      </c>
      <c r="D57" s="11">
        <v>190078</v>
      </c>
      <c r="E57" s="11">
        <v>14</v>
      </c>
      <c r="F57" s="11">
        <v>180544</v>
      </c>
      <c r="G57" s="10">
        <v>13.3</v>
      </c>
      <c r="H57" s="11">
        <v>2975</v>
      </c>
      <c r="I57" s="10">
        <v>0.2</v>
      </c>
      <c r="K57" s="7">
        <f t="shared" si="12"/>
        <v>453629</v>
      </c>
      <c r="L57" s="8">
        <f t="shared" si="12"/>
        <v>33.400000000000006</v>
      </c>
    </row>
    <row r="58" spans="1:12" x14ac:dyDescent="0.25">
      <c r="A58" s="9">
        <v>2003</v>
      </c>
      <c r="B58" s="11">
        <v>79099</v>
      </c>
      <c r="C58" s="10">
        <v>5.7</v>
      </c>
      <c r="D58" s="11">
        <v>190737</v>
      </c>
      <c r="E58" s="10">
        <v>13.6</v>
      </c>
      <c r="F58" s="11">
        <v>178472</v>
      </c>
      <c r="G58" s="10">
        <v>12.8</v>
      </c>
      <c r="H58" s="11">
        <v>17925</v>
      </c>
      <c r="I58" s="10">
        <v>1.3</v>
      </c>
      <c r="K58" s="7">
        <f t="shared" si="12"/>
        <v>466233</v>
      </c>
      <c r="L58" s="8">
        <f t="shared" si="12"/>
        <v>33.4</v>
      </c>
    </row>
    <row r="59" spans="1:12" x14ac:dyDescent="0.25">
      <c r="A59" s="9">
        <v>2004</v>
      </c>
      <c r="B59" s="11">
        <v>81515</v>
      </c>
      <c r="C59" s="10">
        <v>5.6</v>
      </c>
      <c r="D59" s="11">
        <v>199155</v>
      </c>
      <c r="E59" s="10">
        <v>13.7</v>
      </c>
      <c r="F59" s="11">
        <v>185289</v>
      </c>
      <c r="G59" s="10">
        <v>12.7</v>
      </c>
      <c r="H59" s="11">
        <v>8372</v>
      </c>
      <c r="I59" s="10">
        <v>0.6</v>
      </c>
      <c r="K59" s="7">
        <f t="shared" si="12"/>
        <v>474331</v>
      </c>
      <c r="L59" s="8">
        <f t="shared" si="12"/>
        <v>32.599999999999994</v>
      </c>
    </row>
    <row r="60" spans="1:12" x14ac:dyDescent="0.25">
      <c r="A60" s="9">
        <v>2005</v>
      </c>
      <c r="B60" s="11">
        <v>85324</v>
      </c>
      <c r="C60" s="10">
        <v>5.7</v>
      </c>
      <c r="D60" s="11">
        <v>208059</v>
      </c>
      <c r="E60" s="10">
        <v>13.9</v>
      </c>
      <c r="F60" s="11">
        <v>191001</v>
      </c>
      <c r="G60" s="10">
        <v>12.7</v>
      </c>
      <c r="H60" s="11">
        <v>1870</v>
      </c>
      <c r="I60" s="10">
        <v>0.1</v>
      </c>
      <c r="K60" s="7">
        <f t="shared" si="12"/>
        <v>486254</v>
      </c>
      <c r="L60" s="8">
        <f t="shared" si="12"/>
        <v>32.4</v>
      </c>
    </row>
    <row r="61" spans="1:12" x14ac:dyDescent="0.25">
      <c r="A61" s="9">
        <v>2006</v>
      </c>
      <c r="B61" s="11">
        <v>92221</v>
      </c>
      <c r="C61" s="10">
        <v>5.9</v>
      </c>
      <c r="D61" s="11">
        <v>224967</v>
      </c>
      <c r="E61" s="10">
        <v>14.4</v>
      </c>
      <c r="F61" s="11">
        <v>213472</v>
      </c>
      <c r="G61" s="10">
        <v>13.7</v>
      </c>
      <c r="H61" s="11">
        <v>225</v>
      </c>
      <c r="I61" s="11">
        <v>0</v>
      </c>
      <c r="K61" s="7">
        <f t="shared" si="12"/>
        <v>530885</v>
      </c>
      <c r="L61" s="8">
        <f t="shared" si="12"/>
        <v>34</v>
      </c>
    </row>
    <row r="62" spans="1:12" x14ac:dyDescent="0.25">
      <c r="A62" s="9">
        <v>2007</v>
      </c>
      <c r="B62" s="11">
        <v>95567</v>
      </c>
      <c r="C62" s="10">
        <v>5.9</v>
      </c>
      <c r="D62" s="11">
        <v>232258</v>
      </c>
      <c r="E62" s="10">
        <v>14.3</v>
      </c>
      <c r="F62" s="11">
        <v>233507</v>
      </c>
      <c r="G62" s="10">
        <v>14.4</v>
      </c>
      <c r="H62" s="11">
        <v>299</v>
      </c>
      <c r="I62" s="11">
        <v>0</v>
      </c>
      <c r="K62" s="7">
        <f t="shared" si="12"/>
        <v>561631</v>
      </c>
      <c r="L62" s="8">
        <f t="shared" si="12"/>
        <v>34.6</v>
      </c>
    </row>
    <row r="63" spans="1:12" x14ac:dyDescent="0.25">
      <c r="A63" s="9">
        <v>2008</v>
      </c>
      <c r="B63" s="11">
        <v>93698</v>
      </c>
      <c r="C63" s="10">
        <v>5.7</v>
      </c>
      <c r="D63" s="11">
        <v>222498</v>
      </c>
      <c r="E63" s="10">
        <v>13.5</v>
      </c>
      <c r="F63" s="11">
        <v>239880</v>
      </c>
      <c r="G63" s="10">
        <v>14.6</v>
      </c>
      <c r="H63" s="11">
        <v>487</v>
      </c>
      <c r="I63" s="11">
        <v>0</v>
      </c>
      <c r="K63" s="7">
        <f t="shared" si="12"/>
        <v>556563</v>
      </c>
      <c r="L63" s="8">
        <f t="shared" si="12"/>
        <v>33.799999999999997</v>
      </c>
    </row>
    <row r="64" spans="1:12" x14ac:dyDescent="0.25">
      <c r="A64" s="9">
        <v>2009</v>
      </c>
      <c r="B64" s="11">
        <v>86231</v>
      </c>
      <c r="C64" s="10">
        <v>5.4</v>
      </c>
      <c r="D64" s="11">
        <v>214317</v>
      </c>
      <c r="E64" s="10">
        <v>13.5</v>
      </c>
      <c r="F64" s="11">
        <v>222527</v>
      </c>
      <c r="G64" s="11">
        <v>14</v>
      </c>
      <c r="H64" s="11">
        <v>12256</v>
      </c>
      <c r="I64" s="10">
        <v>0.8</v>
      </c>
      <c r="K64" s="7">
        <f t="shared" si="12"/>
        <v>535331</v>
      </c>
      <c r="L64" s="8">
        <f t="shared" si="12"/>
        <v>33.699999999999996</v>
      </c>
    </row>
    <row r="65" spans="1:12" x14ac:dyDescent="0.25">
      <c r="A65" s="9">
        <v>2010</v>
      </c>
      <c r="B65" s="11">
        <v>97042</v>
      </c>
      <c r="C65" s="11">
        <v>6</v>
      </c>
      <c r="D65" s="11">
        <v>225694</v>
      </c>
      <c r="E65" s="10">
        <v>13.9</v>
      </c>
      <c r="F65" s="11">
        <v>226675</v>
      </c>
      <c r="G65" s="11">
        <v>14</v>
      </c>
      <c r="H65" s="11">
        <v>3517</v>
      </c>
      <c r="I65" s="10">
        <v>0.2</v>
      </c>
      <c r="K65" s="7">
        <f t="shared" si="12"/>
        <v>552928</v>
      </c>
      <c r="L65" s="8">
        <f t="shared" si="12"/>
        <v>34.1</v>
      </c>
    </row>
    <row r="66" spans="1:12" x14ac:dyDescent="0.25">
      <c r="A66" s="9">
        <v>2011</v>
      </c>
      <c r="B66" s="11">
        <v>98257</v>
      </c>
      <c r="C66" s="10">
        <v>5.9</v>
      </c>
      <c r="D66" s="11">
        <v>233151</v>
      </c>
      <c r="E66" s="10">
        <v>14.1</v>
      </c>
      <c r="F66" s="11">
        <v>226997</v>
      </c>
      <c r="G66" s="10">
        <v>13.7</v>
      </c>
      <c r="H66" s="11">
        <v>6986</v>
      </c>
      <c r="I66" s="10">
        <v>0.4</v>
      </c>
      <c r="K66" s="7">
        <f t="shared" si="12"/>
        <v>565391</v>
      </c>
      <c r="L66" s="8">
        <f t="shared" si="12"/>
        <v>34.1</v>
      </c>
    </row>
    <row r="67" spans="1:12" x14ac:dyDescent="0.25">
      <c r="A67" s="9">
        <v>2012</v>
      </c>
      <c r="B67" s="11">
        <v>95768</v>
      </c>
      <c r="C67" s="10">
        <v>5.9</v>
      </c>
      <c r="D67" s="11">
        <v>247794</v>
      </c>
      <c r="E67" s="10">
        <v>15.2</v>
      </c>
      <c r="F67" s="11">
        <v>239767</v>
      </c>
      <c r="G67" s="10">
        <v>14.7</v>
      </c>
      <c r="H67" s="11">
        <v>1528</v>
      </c>
      <c r="I67" s="10">
        <v>0.1</v>
      </c>
      <c r="K67" s="7">
        <f t="shared" si="12"/>
        <v>584857</v>
      </c>
      <c r="L67" s="8">
        <f t="shared" si="12"/>
        <v>35.9</v>
      </c>
    </row>
    <row r="68" spans="1:12" x14ac:dyDescent="0.25">
      <c r="A68" s="9">
        <v>2013</v>
      </c>
      <c r="B68" s="11">
        <v>93571</v>
      </c>
      <c r="C68" s="10">
        <v>5.8</v>
      </c>
      <c r="D68" s="11">
        <v>242256</v>
      </c>
      <c r="E68" s="10">
        <v>14.9</v>
      </c>
      <c r="F68" s="11">
        <v>241037</v>
      </c>
      <c r="G68" s="10">
        <v>14.9</v>
      </c>
      <c r="H68" s="11">
        <v>4154</v>
      </c>
      <c r="I68" s="10">
        <v>0.3</v>
      </c>
      <c r="K68" s="7">
        <f>B68+D68+F68+H68</f>
        <v>581018</v>
      </c>
      <c r="L68" s="8">
        <f t="shared" si="12"/>
        <v>35.9</v>
      </c>
    </row>
    <row r="69" spans="1:12" x14ac:dyDescent="0.25">
      <c r="A69" s="9">
        <v>2014</v>
      </c>
      <c r="B69" s="11">
        <v>96567</v>
      </c>
      <c r="C69" s="10">
        <v>5.9</v>
      </c>
      <c r="D69" s="11">
        <v>252293</v>
      </c>
      <c r="E69" s="10">
        <v>15.4</v>
      </c>
      <c r="F69" s="11">
        <v>237168</v>
      </c>
      <c r="G69" s="10">
        <v>14.5</v>
      </c>
      <c r="H69" s="11">
        <v>1583</v>
      </c>
      <c r="I69" s="10">
        <v>0.1</v>
      </c>
      <c r="K69" s="7">
        <f t="shared" si="12"/>
        <v>587611</v>
      </c>
      <c r="L69" s="8">
        <f t="shared" si="12"/>
        <v>35.9</v>
      </c>
    </row>
    <row r="70" spans="1:12" x14ac:dyDescent="0.25">
      <c r="A70" s="9">
        <v>2015</v>
      </c>
      <c r="B70" s="11">
        <v>100345</v>
      </c>
      <c r="C70" s="11">
        <v>6</v>
      </c>
      <c r="D70" s="11">
        <v>250287</v>
      </c>
      <c r="E70" s="11">
        <v>15</v>
      </c>
      <c r="F70" s="11">
        <v>242566</v>
      </c>
      <c r="G70" s="10">
        <v>14.6</v>
      </c>
      <c r="H70" s="11">
        <v>1214</v>
      </c>
      <c r="I70" s="10">
        <v>0.1</v>
      </c>
      <c r="K70" s="7">
        <f t="shared" si="12"/>
        <v>594412</v>
      </c>
      <c r="L70" s="8">
        <f t="shared" si="12"/>
        <v>35.700000000000003</v>
      </c>
    </row>
    <row r="71" spans="1:12" x14ac:dyDescent="0.25">
      <c r="A71" s="9">
        <v>2016</v>
      </c>
      <c r="B71" s="11">
        <v>102086</v>
      </c>
      <c r="C71" s="11">
        <v>6</v>
      </c>
      <c r="D71" s="11">
        <v>245147</v>
      </c>
      <c r="E71" s="10">
        <v>14.4</v>
      </c>
      <c r="F71" s="11">
        <v>247425</v>
      </c>
      <c r="G71" s="10">
        <v>14.5</v>
      </c>
      <c r="H71" s="11">
        <v>5360</v>
      </c>
      <c r="I71" s="10">
        <v>0.3</v>
      </c>
      <c r="K71" s="7">
        <f t="shared" si="12"/>
        <v>600018</v>
      </c>
      <c r="L71" s="8">
        <f t="shared" si="12"/>
        <v>35.199999999999996</v>
      </c>
    </row>
    <row r="72" spans="1:12" x14ac:dyDescent="0.25">
      <c r="A72" s="9">
        <v>2017</v>
      </c>
      <c r="B72" s="11">
        <v>107576</v>
      </c>
      <c r="C72" s="10">
        <v>6.2</v>
      </c>
      <c r="D72" s="11">
        <v>250821</v>
      </c>
      <c r="E72" s="10">
        <v>14.4</v>
      </c>
      <c r="F72" s="11">
        <v>250161</v>
      </c>
      <c r="G72" s="10">
        <v>14.3</v>
      </c>
      <c r="H72" s="11">
        <v>2325</v>
      </c>
      <c r="I72" s="10">
        <v>0.1</v>
      </c>
      <c r="K72" s="7">
        <f t="shared" si="12"/>
        <v>610883</v>
      </c>
      <c r="L72" s="8">
        <f t="shared" si="12"/>
        <v>35.000000000000007</v>
      </c>
    </row>
    <row r="73" spans="1:12" x14ac:dyDescent="0.25">
      <c r="A73" s="9">
        <v>2018</v>
      </c>
      <c r="B73" s="11">
        <v>109333</v>
      </c>
      <c r="C73" s="10">
        <v>6.2</v>
      </c>
      <c r="D73" s="11">
        <v>256209</v>
      </c>
      <c r="E73" s="10">
        <v>14.4</v>
      </c>
      <c r="F73" s="11">
        <v>248561</v>
      </c>
      <c r="G73" s="11">
        <v>14</v>
      </c>
      <c r="H73" s="11">
        <v>1574</v>
      </c>
      <c r="I73" s="10">
        <v>0.1</v>
      </c>
      <c r="K73" s="7">
        <f t="shared" si="12"/>
        <v>615677</v>
      </c>
      <c r="L73" s="8">
        <f t="shared" si="12"/>
        <v>34.700000000000003</v>
      </c>
    </row>
    <row r="74" spans="1:12" x14ac:dyDescent="0.25">
      <c r="A74" s="9">
        <v>2019</v>
      </c>
      <c r="B74" s="11">
        <v>111464</v>
      </c>
      <c r="C74" s="10">
        <v>6.2</v>
      </c>
      <c r="D74" s="11">
        <v>261488</v>
      </c>
      <c r="E74" s="10">
        <v>14.5</v>
      </c>
      <c r="F74" s="11">
        <v>258205</v>
      </c>
      <c r="G74" s="10">
        <v>14.3</v>
      </c>
      <c r="H74" s="11">
        <v>1252</v>
      </c>
      <c r="I74" s="10">
        <v>0.1</v>
      </c>
      <c r="K74" s="7">
        <f t="shared" si="12"/>
        <v>632409</v>
      </c>
      <c r="L74" s="8">
        <f t="shared" si="12"/>
        <v>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greece</vt:lpstr>
      <vt:lpstr>ireland</vt:lpstr>
      <vt:lpstr>portugal</vt:lpstr>
      <vt:lpstr>spain</vt:lpstr>
      <vt:lpstr>italy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时梁</dc:creator>
  <cp:lastModifiedBy>Liang Shi (Economics)</cp:lastModifiedBy>
  <dcterms:created xsi:type="dcterms:W3CDTF">2015-06-05T18:17:20Z</dcterms:created>
  <dcterms:modified xsi:type="dcterms:W3CDTF">2025-06-14T13:54:12Z</dcterms:modified>
</cp:coreProperties>
</file>